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a4e948385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тод 1" sheetId="1" r:id="Rbf2245d42e584013"/>
    <x:sheet xmlns:r="http://schemas.openxmlformats.org/officeDocument/2006/relationships" name="Метод 2" sheetId="2" r:id="R30aae5da0c6143c5"/>
    <x:sheet xmlns:r="http://schemas.openxmlformats.org/officeDocument/2006/relationships" name="Расчёт" sheetId="3" r:id="R4cc32df002fa4c6b"/>
  </x:sheets>
</x:workbook>
</file>

<file path=xl/sharedStrings.xml><?xml version="1.0" encoding="utf-8"?>
<x:sst xmlns:x="http://schemas.openxmlformats.org/spreadsheetml/2006/main">
  <x:si>
    <x:t xml:space="preserve">Собственные векторы и степени принадлежности</x:t>
  </x:si>
  <x:si>
    <x:t xml:space="preserve">Собственный вектор W и степени принадлежности μ</x:t>
  </x:si>
  <x:si>
    <x:t xml:space="preserve">Собственные значения и несогласованность</x:t>
  </x:si>
  <x:si>
    <x:t xml:space="preserve">Терм</x:t>
  </x:si>
  <x:si>
    <x:t xml:space="preserve">λmax</x:t>
  </x:si>
  <x:si>
    <x:t xml:space="preserve">λmax − 6</x:t>
  </x:si>
  <x:si>
    <x:t xml:space="preserve">AW = λmax·W; ΣW = 1; μᵢ = Wᵢ / max(W). Ниже показаны 20 степенных итераций для каждого терма.</x:t>
  </x:si>
  <x:si>
    <x:t xml:space="preserve">Интервал</x:t>
  </x:si>
  <x:si>
    <x:t xml:space="preserve">v0</x:t>
  </x:si>
  <x:si>
    <x:t xml:space="preserve">Ит. 1</x:t>
  </x:si>
  <x:si>
    <x:t xml:space="preserve">Ит. 2</x:t>
  </x:si>
  <x:si>
    <x:t xml:space="preserve">Ит. 3</x:t>
  </x:si>
  <x:si>
    <x:t xml:space="preserve">Ит. 4</x:t>
  </x:si>
  <x:si>
    <x:t xml:space="preserve">Ит. 5</x:t>
  </x:si>
  <x:si>
    <x:t xml:space="preserve">Ит. 6</x:t>
  </x:si>
  <x:si>
    <x:t xml:space="preserve">Ит. 7</x:t>
  </x:si>
  <x:si>
    <x:t xml:space="preserve">Ит. 8</x:t>
  </x:si>
  <x:si>
    <x:t xml:space="preserve">Ит. 9</x:t>
  </x:si>
  <x:si>
    <x:t xml:space="preserve">Ит. 10</x:t>
  </x:si>
  <x:si>
    <x:t xml:space="preserve">Ит. 11</x:t>
  </x:si>
  <x:si>
    <x:t xml:space="preserve">Ит. 12</x:t>
  </x:si>
  <x:si>
    <x:t xml:space="preserve">Ит. 13</x:t>
  </x:si>
  <x:si>
    <x:t xml:space="preserve">Ит. 14</x:t>
  </x:si>
  <x:si>
    <x:t xml:space="preserve">Ит. 15</x:t>
  </x:si>
  <x:si>
    <x:t xml:space="preserve">Ит. 16</x:t>
  </x:si>
  <x:si>
    <x:t xml:space="preserve">Ит. 17</x:t>
  </x:si>
  <x:si>
    <x:t xml:space="preserve">Ит. 18</x:t>
  </x:si>
  <x:si>
    <x:t xml:space="preserve">Ит. 19</x:t>
  </x:si>
  <x:si>
    <x:t xml:space="preserve">Ит. 20</x:t>
  </x:si>
  <x:si>
    <x:t xml:space="preserve">(Av)/v</x:t>
  </x:si>
  <x:si>
    <x:t xml:space="preserve">λmax / Δ</x:t>
  </x:si>
</x:sst>
</file>

<file path=xl/styles.xml><?xml version="1.0" encoding="utf-8"?>
<x:styleSheet xmlns:x="http://schemas.openxmlformats.org/spreadsheetml/2006/main">
  <x:numFmts count="4">
    <x:numFmt numFmtId="200" formatCode="0.0"/>
    <x:numFmt numFmtId="201" formatCode="0.000"/>
    <x:numFmt numFmtId="202" formatCode="0.0000"/>
    <x:numFmt numFmtId="203" formatCode="0.000E+00"/>
  </x:numFmts>
  <x:fonts count="14">
    <x:font>
      <x:sz val="11"/>
      <x:name val="Carlito"/>
    </x:font>
    <x:font>
      <x:sz val="10"/>
      <x:color rgb="FF253243"/>
      <x:name val="Arial"/>
    </x:font>
    <x:font>
      <x:b/>
      <x:sz val="10"/>
      <x:color rgb="FFFFFFFF"/>
      <x:name val="Arial"/>
    </x:font>
    <x:font>
      <x:b/>
      <x:sz val="14"/>
      <x:color rgb="FF243D59"/>
      <x:name val="Arial"/>
    </x:font>
    <x:font>
      <x:sz val="10"/>
      <x:color rgb="FF5F6E7E"/>
      <x:name val="Arial"/>
    </x:font>
    <x:font>
      <x:b/>
      <x:sz val="10"/>
      <x:color rgb="FF1E2630"/>
      <x:name val="Arial"/>
    </x:font>
    <x:font>
      <x:i/>
      <x:sz val="9"/>
      <x:color rgb="FF627184"/>
      <x:name val="Arial"/>
    </x:font>
    <x:font>
      <x:b/>
      <x:sz val="15"/>
      <x:color rgb="FF243D59"/>
      <x:name val="Arial"/>
    </x:font>
    <x:font>
      <x:i/>
      <x:sz val="10"/>
      <x:color rgb="FF5F6E7E"/>
      <x:name val="Arial"/>
    </x:font>
    <x:font>
      <x:b/>
      <x:sz val="10"/>
      <x:color rgb="FF243D59"/>
      <x:name val="Arial"/>
    </x:font>
    <x:font>
      <x:sz val="10"/>
      <x:color rgb="FF334155"/>
      <x:name val="Arial"/>
    </x:font>
    <x:font>
      <x:b/>
      <x:sz val="15"/>
      <x:color rgb="FF173454"/>
      <x:name val="Arial"/>
    </x:font>
    <x:font>
      <x:b/>
      <x:sz val="10"/>
      <x:color rgb="FF173454"/>
      <x:name val="Arial"/>
    </x:font>
    <x:font>
      <x:i/>
      <x:sz val="10"/>
      <x:color rgb="FF5B7084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243D59"/>
      </x:patternFill>
    </x:fill>
    <x:fill>
      <x:patternFill patternType="solid">
        <x:fgColor rgb="FFDBDDE0"/>
      </x:patternFill>
    </x:fill>
    <x:fill>
      <x:patternFill patternType="solid">
        <x:fgColor rgb="FFF6C9AC"/>
      </x:patternFill>
    </x:fill>
    <x:fill>
      <x:patternFill patternType="solid">
        <x:fgColor rgb="FFFFF0BE"/>
      </x:patternFill>
    </x:fill>
    <x:fill>
      <x:patternFill patternType="solid">
        <x:fgColor rgb="FFDBEAD9"/>
      </x:patternFill>
    </x:fill>
    <x:fill>
      <x:patternFill patternType="solid">
        <x:fgColor rgb="FFFFF2C9"/>
      </x:patternFill>
    </x:fill>
    <x:fill>
      <x:patternFill patternType="solid">
        <x:fgColor rgb="FFDADDE2"/>
      </x:patternFill>
    </x:fill>
    <x:fill>
      <x:patternFill patternType="solid">
        <x:fgColor rgb="FFF5F7F9"/>
      </x:patternFill>
    </x:fill>
    <x:fill>
      <x:patternFill patternType="solid">
        <x:fgColor rgb="FFE9EDF2"/>
      </x:patternFill>
    </x:fill>
    <x:fill>
      <x:patternFill patternType="solid">
        <x:fgColor rgb="FFFFF2CB"/>
      </x:patternFill>
    </x:fill>
    <x:fill>
      <x:patternFill patternType="solid">
        <x:fgColor rgb="FFE7EDF3"/>
      </x:patternFill>
    </x:fill>
    <x:fill>
      <x:patternFill patternType="solid">
        <x:fgColor rgb="FF213A57"/>
      </x:patternFill>
    </x:fill>
  </x:fills>
  <x:borders count="5">
    <x:border/>
    <x:border>
      <x:left style="thin">
        <x:color rgb="FF4D5560"/>
      </x:left>
      <x:right style="thin">
        <x:color rgb="FF4D5560"/>
      </x:right>
      <x:top style="thin">
        <x:color rgb="FF4D5560"/>
      </x:top>
      <x:bottom style="thin">
        <x:color rgb="FF4D5560"/>
      </x:bottom>
    </x:border>
    <x:border>
      <x:left style="thin">
        <x:color rgb="FFB9C2CB"/>
      </x:left>
      <x:right style="thin">
        <x:color rgb="FFB9C2CB"/>
      </x:right>
      <x:top style="thin">
        <x:color rgb="FFB9C2CB"/>
      </x:top>
      <x:bottom style="thin">
        <x:color rgb="FFB9C2CB"/>
      </x:bottom>
    </x:border>
    <x:border>
      <x:bottom style="thin">
        <x:color rgb="FFAAB7C6"/>
      </x:bottom>
    </x:border>
    <x:border>
      <x:bottom style="thin">
        <x:color rgb="FFD9E0E7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9" borderId="1" xfId="0" applyNumberFormat="1" applyFont="1" applyFill="1" applyBorder="1"/>
    <x:xf numFmtId="200" fontId="1" fillId="9" borderId="1" xfId="0" applyNumberFormat="1" applyFont="1" applyFill="1" applyBorder="1"/>
    <x:xf numFmtId="0" fontId="6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7" fillId="0" borderId="0" xfId="0" applyNumberFormat="1" applyFont="1" applyFill="1" applyBorder="1"/>
    <x:xf numFmtId="0" fontId="1" fillId="0" borderId="3" xfId="0" applyNumberFormat="1" applyFont="1" applyFill="1" applyBorder="1"/>
    <x:xf numFmtId="0" fontId="8" fillId="0" borderId="0" xfId="0" applyNumberFormat="1" applyFont="1" applyFill="1" applyBorder="1"/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4" xfId="0" applyNumberFormat="1" applyFont="1" applyFill="1" applyBorder="1"/>
    <x:xf numFmtId="201" fontId="1" fillId="0" borderId="4" xfId="0" applyNumberFormat="1" applyFont="1" applyFill="1" applyBorder="1"/>
    <x:xf numFmtId="202" fontId="1" fillId="0" borderId="0" xfId="0" applyNumberFormat="1" applyFont="1" applyFill="1" applyBorder="1"/>
    <x:xf numFmtId="202" fontId="1" fillId="0" borderId="4" xfId="0" applyNumberFormat="1" applyFont="1" applyFill="1" applyBorder="1"/>
    <x:xf numFmtId="201" fontId="1" fillId="10" borderId="0" xfId="0" applyNumberFormat="1" applyFont="1" applyFill="1" applyBorder="1"/>
    <x:xf numFmtId="201" fontId="1" fillId="11" borderId="0" xfId="0" applyNumberFormat="1" applyFont="1" applyFill="1" applyBorder="1"/>
    <x:xf numFmtId="201" fontId="1" fillId="9" borderId="0" xfId="0" applyNumberFormat="1" applyFont="1" applyFill="1" applyBorder="1"/>
    <x:xf numFmtId="201" fontId="1" fillId="9" borderId="4" xfId="0" applyNumberFormat="1" applyFont="1" applyFill="1" applyBorder="1"/>
    <x:xf numFmtId="201" fontId="1" fillId="10" borderId="4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0" fillId="12" borderId="0" xfId="0" applyNumberFormat="1" applyFont="1" applyFill="1" applyBorder="1"/>
    <x:xf numFmtId="0" fontId="12" fillId="12" borderId="0" xfId="0" applyNumberFormat="1" applyFont="1" applyFill="1" applyBorder="1"/>
    <x:xf numFmtId="0" fontId="10" fillId="13" borderId="0" xfId="0" applyNumberFormat="1" applyFont="1" applyFill="1" applyBorder="1"/>
    <x:xf numFmtId="0" fontId="2" fillId="13" borderId="0" xfId="0" applyNumberFormat="1" applyFont="1" applyFill="1" applyBorder="1"/>
    <x:xf numFmtId="201" fontId="10" fillId="0" borderId="0" xfId="0" applyNumberFormat="1" applyFont="1" applyFill="1" applyBorder="1"/>
    <x:xf numFmtId="202" fontId="10" fillId="0" borderId="0" xfId="0" applyNumberFormat="1" applyFont="1" applyFill="1" applyBorder="1"/>
    <x:xf numFmtId="203" fontId="10" fillId="0" borderId="0" xfId="0" applyNumberFormat="1" applyFont="1" applyFill="1" applyBorder="1"/>
    <x:xf numFmtId="0" fontId="1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5480a3f094770" /><Relationship Type="http://schemas.openxmlformats.org/officeDocument/2006/relationships/theme" Target="/xl/theme/theme1.xml" Id="R6185ed2612e7464e" /><Relationship Type="http://schemas.openxmlformats.org/officeDocument/2006/relationships/sharedStrings" Target="/xl/sharedStrings.xml" Id="R168445f69b514be5" /><Relationship Type="http://schemas.openxmlformats.org/officeDocument/2006/relationships/worksheet" Target="/xl/worksheets/sheet1.xml" Id="Rbf2245d42e584013" /><Relationship Type="http://schemas.openxmlformats.org/officeDocument/2006/relationships/worksheet" Target="/xl/worksheets/sheet2.xml" Id="R30aae5da0c6143c5" /><Relationship Type="http://schemas.openxmlformats.org/officeDocument/2006/relationships/worksheet" Target="/xl/worksheets/sheet3.xml" Id="R4cc32df002fa4c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1d8bb3d30347f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e260ae22e1f40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Функции принадлежности по оценкам экспертов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Близко</c:v>
          </c:tx>
          <c:spPr>
            <a:ln xmlns:a="http://schemas.openxmlformats.org/drawingml/2006/main" w="19050">
              <a:solidFill>
                <a:srgbClr val="168054"/>
              </a:solidFill>
              <a:prstDash val="solid"/>
            </a:ln>
          </c:spPr>
          <c:marker>
            <c:symbol val="none"/>
          </c:marker>
          <c:cat>
            <c:strRef>
              <c:f>'Метод 1'!$A$30:$A$35</c:f>
              <c:strCache>
                <c:ptCount val="0"/>
              </c:strCache>
            </c:strRef>
          </c:cat>
          <c:val>
            <c:numRef>
              <c:f>'Метод 1'!$B$30:$B$35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Средне</c:v>
          </c:tx>
          <c:spPr>
            <a:ln xmlns:a="http://schemas.openxmlformats.org/drawingml/2006/main" w="19050">
              <a:solidFill>
                <a:srgbClr val="E78016"/>
              </a:solidFill>
              <a:prstDash val="solid"/>
            </a:ln>
          </c:spPr>
          <c:marker>
            <c:symbol val="none"/>
          </c:marker>
          <c:cat>
            <c:strRef>
              <c:f>'Метод 1'!$A$30:$A$35</c:f>
              <c:strCache>
                <c:ptCount val="0"/>
              </c:strCache>
            </c:strRef>
          </c:cat>
          <c:val>
            <c:numRef>
              <c:f>'Метод 1'!$C$30:$C$35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Далеко</c:v>
          </c:tx>
          <c:spPr>
            <a:ln xmlns:a="http://schemas.openxmlformats.org/drawingml/2006/main" w="19050">
              <a:solidFill>
                <a:srgbClr val="D83D48"/>
              </a:solidFill>
              <a:prstDash val="solid"/>
            </a:ln>
          </c:spPr>
          <c:marker>
            <c:symbol val="none"/>
          </c:marker>
          <c:cat>
            <c:strRef>
              <c:f>'Метод 1'!$A$30:$A$35</c:f>
              <c:strCache>
                <c:ptCount val="0"/>
              </c:strCache>
            </c:strRef>
          </c:cat>
          <c:val>
            <c:numRef>
              <c:f>'Метод 1'!$D$30:$D$35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Расстояние пешком, км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Степень принадлежности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Функции принадлежности по парным сравнениям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Близко</c:v>
          </c:tx>
          <c:spPr>
            <a:ln xmlns:a="http://schemas.openxmlformats.org/drawingml/2006/main" w="19050">
              <a:solidFill>
                <a:srgbClr val="168054"/>
              </a:solidFill>
              <a:prstDash val="solid"/>
            </a:ln>
          </c:spPr>
          <c:marker>
            <c:symbol val="none"/>
          </c:marker>
          <c:cat>
            <c:strRef>
              <c:f>'Метод 2'!$A$8:$A$13</c:f>
              <c:strCache>
                <c:ptCount val="0"/>
              </c:strCache>
            </c:strRef>
          </c:cat>
          <c:val>
            <c:numRef>
              <c:f>'Метод 2'!$B$8:$B$13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Средне</c:v>
          </c:tx>
          <c:spPr>
            <a:ln xmlns:a="http://schemas.openxmlformats.org/drawingml/2006/main" w="19050">
              <a:solidFill>
                <a:srgbClr val="E78016"/>
              </a:solidFill>
              <a:prstDash val="solid"/>
            </a:ln>
          </c:spPr>
          <c:marker>
            <c:symbol val="none"/>
          </c:marker>
          <c:cat>
            <c:strRef>
              <c:f>'Метод 2'!$A$8:$A$13</c:f>
              <c:strCache>
                <c:ptCount val="0"/>
              </c:strCache>
            </c:strRef>
          </c:cat>
          <c:val>
            <c:numRef>
              <c:f>'Метод 2'!$C$8:$C$13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Далеко</c:v>
          </c:tx>
          <c:spPr>
            <a:ln xmlns:a="http://schemas.openxmlformats.org/drawingml/2006/main" w="19050">
              <a:solidFill>
                <a:srgbClr val="D83D48"/>
              </a:solidFill>
              <a:prstDash val="solid"/>
            </a:ln>
          </c:spPr>
          <c:marker>
            <c:symbol val="none"/>
          </c:marker>
          <c:cat>
            <c:strRef>
              <c:f>'Метод 2'!$A$8:$A$13</c:f>
              <c:strCache>
                <c:ptCount val="0"/>
              </c:strCache>
            </c:strRef>
          </c:cat>
          <c:val>
            <c:numRef>
              <c:f>'Метод 2'!$D$8:$D$13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Расстояние пешком, км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Степень принадлежности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28</xdr:row>
      <xdr:rowOff>0</xdr:rowOff>
    </xdr:from>
    <xdr:to>
      <xdr:col>19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1d8bb3d30347f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20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260ae22e1f40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c920a6148649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16a9963a86a44bf" /></Relationships>
</file>

<file path=xl/worksheets/sheet1.xml><?xml version="1.0" encoding="utf-8"?>
<x:worksheet xmlns:x="http://schemas.openxmlformats.org/spreadsheetml/2006/main">
  <x:sheetPr>
    <x:tabColor rgb="FF243D59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25" customHeight="1">
      <x:c r="A1" s="20" t="str">
        <x:v>Эксперт</x:v>
      </x:c>
      <x:c r="B1" s="20" t="str">
        <x:v>Термы</x:v>
      </x:c>
      <x:c r="C1" s="20" t="str">
        <x:v>0–1 км</x:v>
      </x:c>
      <x:c r="D1" s="20" t="str">
        <x:v>1–2 км</x:v>
      </x:c>
      <x:c r="E1" s="20" t="str">
        <x:v>2–3 км</x:v>
      </x:c>
      <x:c r="F1" s="20" t="str">
        <x:v>3–4 км</x:v>
      </x:c>
      <x:c r="G1" s="20" t="str">
        <x:v>4–5 км</x:v>
      </x:c>
      <x:c r="H1" s="20" t="str">
        <x:v>5–6 км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5" customHeight="1">
      <x:c r="A2" s="21" t="str">
        <x:v>Эксперт 1</x:v>
      </x:c>
      <x:c r="B2" s="22" t="str">
        <x:v>Близко</x:v>
      </x:c>
      <x:c r="C2" s="23" t="n">
        <x:v>1</x:v>
      </x:c>
      <x:c r="D2" s="23" t="n">
        <x:v>1</x:v>
      </x:c>
      <x:c r="E2" s="23" t="n">
        <x:v>0</x:v>
      </x:c>
      <x:c r="F2" s="23" t="n">
        <x:v>0</x:v>
      </x:c>
      <x:c r="G2" s="23" t="n">
        <x:v>0</x:v>
      </x:c>
      <x:c r="H2" s="23" t="n">
        <x:v>0</x:v>
      </x:c>
      <x:c r="I2" s="1"/>
      <x:c r="J2" s="36" t="str">
        <x:v>Расстояние пешком</x:v>
      </x:c>
      <x:c r="K2" s="1"/>
      <x:c r="L2" s="1"/>
      <x:c r="M2" s="1"/>
      <x:c r="N2" s="1"/>
      <x:c r="O2" s="1"/>
      <x:c r="P2" s="1"/>
      <x:c r="Q2" s="1"/>
      <x:c r="R2" s="1"/>
      <x:c r="S2" s="1"/>
    </x:row>
    <x:row r="3" ht="25" customHeight="1">
      <x:c r="A3" s="22"/>
      <x:c r="B3" s="22" t="str">
        <x:v>Средне</x:v>
      </x:c>
      <x:c r="C3" s="23" t="n">
        <x:v>0</x:v>
      </x:c>
      <x:c r="D3" s="23" t="n">
        <x:v>0</x:v>
      </x:c>
      <x:c r="E3" s="23" t="n">
        <x:v>1</x:v>
      </x:c>
      <x:c r="F3" s="23" t="n">
        <x:v>1</x:v>
      </x:c>
      <x:c r="G3" s="23" t="n">
        <x:v>0</x:v>
      </x:c>
      <x:c r="H3" s="23" t="n">
        <x:v>0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5" customHeight="1">
      <x:c r="A4" s="22"/>
      <x:c r="B4" s="22" t="str">
        <x:v>Далеко</x:v>
      </x:c>
      <x:c r="C4" s="23" t="n">
        <x:v>0</x:v>
      </x:c>
      <x:c r="D4" s="23" t="n">
        <x:v>0</x:v>
      </x:c>
      <x:c r="E4" s="23" t="n">
        <x:v>0</x:v>
      </x:c>
      <x:c r="F4" s="23" t="n">
        <x:v>0</x:v>
      </x:c>
      <x:c r="G4" s="23" t="n">
        <x:v>1</x:v>
      </x:c>
      <x:c r="H4" s="23" t="n">
        <x:v>1</x:v>
      </x:c>
      <x:c r="I4" s="1"/>
      <x:c r="J4" s="37" t="str">
        <x:v>От начальной до конечной точки маршрута.</x:v>
      </x:c>
      <x:c r="K4" s="1"/>
      <x:c r="L4" s="1"/>
      <x:c r="M4" s="1"/>
      <x:c r="N4" s="1"/>
      <x:c r="O4" s="1"/>
      <x:c r="P4" s="1"/>
      <x:c r="Q4" s="1"/>
      <x:c r="R4" s="1"/>
      <x:c r="S4" s="1"/>
    </x:row>
    <x:row r="5" ht="25" customHeight="1">
      <x:c r="A5" s="24" t="str">
        <x:v>Эксперт 2</x:v>
      </x:c>
      <x:c r="B5" s="25" t="str">
        <x:v>Близко</x:v>
      </x:c>
      <x:c r="C5" s="26" t="n">
        <x:v>1</x:v>
      </x:c>
      <x:c r="D5" s="26" t="n">
        <x:v>0</x:v>
      </x:c>
      <x:c r="E5" s="26" t="n">
        <x:v>0</x:v>
      </x:c>
      <x:c r="F5" s="26" t="n">
        <x:v>0</x:v>
      </x:c>
      <x:c r="G5" s="26" t="n">
        <x:v>0</x:v>
      </x:c>
      <x:c r="H5" s="26" t="n">
        <x:v>0</x:v>
      </x:c>
      <x:c r="I5" s="1"/>
      <x:c r="J5" s="37" t="str">
        <x:v>Шесть интервалов шириной 1 км.</x:v>
      </x:c>
      <x:c r="K5" s="1"/>
      <x:c r="L5" s="1"/>
      <x:c r="M5" s="1"/>
      <x:c r="N5" s="1"/>
      <x:c r="O5" s="1"/>
      <x:c r="P5" s="1"/>
      <x:c r="Q5" s="1"/>
      <x:c r="R5" s="1"/>
      <x:c r="S5" s="1"/>
    </x:row>
    <x:row r="6" ht="25" customHeight="1">
      <x:c r="A6" s="25"/>
      <x:c r="B6" s="25" t="str">
        <x:v>Средне</x:v>
      </x:c>
      <x:c r="C6" s="26" t="n">
        <x:v>0</x:v>
      </x:c>
      <x:c r="D6" s="26" t="n">
        <x:v>1</x:v>
      </x:c>
      <x:c r="E6" s="26" t="n">
        <x:v>1</x:v>
      </x:c>
      <x:c r="F6" s="26" t="n">
        <x:v>1</x:v>
      </x:c>
      <x:c r="G6" s="26" t="n">
        <x:v>0</x:v>
      </x:c>
      <x:c r="H6" s="26" t="n">
        <x:v>0</x:v>
      </x:c>
      <x:c r="I6" s="1"/>
      <x:c r="J6" s="37"/>
      <x:c r="K6" s="1"/>
      <x:c r="L6" s="1"/>
      <x:c r="M6" s="1"/>
      <x:c r="N6" s="1"/>
      <x:c r="O6" s="1"/>
      <x:c r="P6" s="1"/>
      <x:c r="Q6" s="1"/>
      <x:c r="R6" s="1"/>
      <x:c r="S6" s="1"/>
    </x:row>
    <x:row r="7" ht="25" customHeight="1">
      <x:c r="A7" s="25"/>
      <x:c r="B7" s="25" t="str">
        <x:v>Далеко</x:v>
      </x:c>
      <x:c r="C7" s="26" t="n">
        <x:v>0</x:v>
      </x:c>
      <x:c r="D7" s="26" t="n">
        <x:v>0</x:v>
      </x:c>
      <x:c r="E7" s="26" t="n">
        <x:v>0</x:v>
      </x:c>
      <x:c r="F7" s="26" t="n">
        <x:v>0</x:v>
      </x:c>
      <x:c r="G7" s="26" t="n">
        <x:v>1</x:v>
      </x:c>
      <x:c r="H7" s="26" t="n">
        <x:v>1</x:v>
      </x:c>
      <x:c r="I7" s="1"/>
      <x:c r="J7" s="37" t="str">
        <x:v>Модельные оценки пяти экспертов.</x:v>
      </x:c>
      <x:c r="K7" s="1"/>
      <x:c r="L7" s="1"/>
      <x:c r="M7" s="1"/>
      <x:c r="N7" s="1"/>
      <x:c r="O7" s="1"/>
      <x:c r="P7" s="1"/>
      <x:c r="Q7" s="1"/>
      <x:c r="R7" s="1"/>
      <x:c r="S7" s="1"/>
    </x:row>
    <x:row r="8" ht="25" customHeight="1">
      <x:c r="A8" s="27" t="str">
        <x:v>Эксперт 3</x:v>
      </x:c>
      <x:c r="B8" s="28" t="str">
        <x:v>Близко</x:v>
      </x:c>
      <x:c r="C8" s="29" t="n">
        <x:v>1</x:v>
      </x:c>
      <x:c r="D8" s="29" t="n">
        <x:v>1</x:v>
      </x:c>
      <x:c r="E8" s="29" t="n">
        <x:v>0</x:v>
      </x:c>
      <x:c r="F8" s="29" t="n">
        <x:v>0</x:v>
      </x:c>
      <x:c r="G8" s="29" t="n">
        <x:v>0</x:v>
      </x:c>
      <x:c r="H8" s="29" t="n">
        <x:v>0</x:v>
      </x:c>
      <x:c r="I8" s="1"/>
      <x:c r="J8" s="37" t="str">
        <x:v>Каждый эксперт выбирает один терм на каждом интервале.</x:v>
      </x:c>
      <x:c r="K8" s="1"/>
      <x:c r="L8" s="1"/>
      <x:c r="M8" s="1"/>
      <x:c r="N8" s="1"/>
      <x:c r="O8" s="1"/>
      <x:c r="P8" s="1"/>
      <x:c r="Q8" s="1"/>
      <x:c r="R8" s="1"/>
      <x:c r="S8" s="1"/>
    </x:row>
    <x:row r="9" ht="25" customHeight="1">
      <x:c r="A9" s="28"/>
      <x:c r="B9" s="28" t="str">
        <x:v>Средне</x:v>
      </x:c>
      <x:c r="C9" s="29" t="n">
        <x:v>0</x:v>
      </x:c>
      <x:c r="D9" s="29" t="n">
        <x:v>0</x:v>
      </x:c>
      <x:c r="E9" s="29" t="n">
        <x:v>1</x:v>
      </x:c>
      <x:c r="F9" s="29" t="n">
        <x:v>1</x:v>
      </x:c>
      <x:c r="G9" s="29" t="n">
        <x:v>0</x:v>
      </x:c>
      <x:c r="H9" s="29" t="n">
        <x:v>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</x:row>
    <x:row r="10" ht="25" customHeight="1">
      <x:c r="A10" s="28"/>
      <x:c r="B10" s="28" t="str">
        <x:v>Далеко</x:v>
      </x:c>
      <x:c r="C10" s="29" t="n">
        <x:v>0</x:v>
      </x:c>
      <x:c r="D10" s="29" t="n">
        <x:v>0</x:v>
      </x:c>
      <x:c r="E10" s="29" t="n">
        <x:v>0</x:v>
      </x:c>
      <x:c r="F10" s="29" t="n">
        <x:v>0</x:v>
      </x:c>
      <x:c r="G10" s="29" t="n">
        <x:v>1</x:v>
      </x:c>
      <x:c r="H10" s="29" t="n">
        <x:v>1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</x:row>
    <x:row r="11" ht="25" customHeight="1">
      <x:c r="A11" s="30" t="str">
        <x:v>Эксперт 4</x:v>
      </x:c>
      <x:c r="B11" s="31" t="str">
        <x:v>Близко</x:v>
      </x:c>
      <x:c r="C11" s="32" t="n">
        <x:v>1</x:v>
      </x:c>
      <x:c r="D11" s="32" t="n">
        <x:v>0</x:v>
      </x:c>
      <x:c r="E11" s="32" t="n">
        <x:v>0</x:v>
      </x:c>
      <x:c r="F11" s="32" t="n">
        <x:v>0</x:v>
      </x:c>
      <x:c r="G11" s="32" t="n">
        <x:v>0</x:v>
      </x:c>
      <x:c r="H11" s="32" t="n">
        <x:v>0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</x:row>
    <x:row r="12" ht="25" customHeight="1">
      <x:c r="A12" s="31"/>
      <x:c r="B12" s="31" t="str">
        <x:v>Средне</x:v>
      </x:c>
      <x:c r="C12" s="32" t="n">
        <x:v>0</x:v>
      </x:c>
      <x:c r="D12" s="32" t="n">
        <x:v>1</x:v>
      </x:c>
      <x:c r="E12" s="32" t="n">
        <x:v>1</x:v>
      </x:c>
      <x:c r="F12" s="32" t="n">
        <x:v>1</x:v>
      </x:c>
      <x:c r="G12" s="32" t="n">
        <x:v>0</x:v>
      </x:c>
      <x:c r="H12" s="32" t="n">
        <x:v>0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</x:row>
    <x:row r="13" ht="25" customHeight="1">
      <x:c r="A13" s="31"/>
      <x:c r="B13" s="31" t="str">
        <x:v>Далеко</x:v>
      </x:c>
      <x:c r="C13" s="32" t="n">
        <x:v>0</x:v>
      </x:c>
      <x:c r="D13" s="32" t="n">
        <x:v>0</x:v>
      </x:c>
      <x:c r="E13" s="32" t="n">
        <x:v>0</x:v>
      </x:c>
      <x:c r="F13" s="32" t="n">
        <x:v>0</x:v>
      </x:c>
      <x:c r="G13" s="32" t="n">
        <x:v>1</x:v>
      </x:c>
      <x:c r="H13" s="32" t="n">
        <x:v>1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</x:row>
    <x:row r="14" ht="25" customHeight="1">
      <x:c r="A14" s="33" t="str">
        <x:v>Эксперт 5</x:v>
      </x:c>
      <x:c r="B14" s="34" t="str">
        <x:v>Близко</x:v>
      </x:c>
      <x:c r="C14" s="35" t="n">
        <x:v>1</x:v>
      </x:c>
      <x:c r="D14" s="35" t="n">
        <x:v>0</x:v>
      </x:c>
      <x:c r="E14" s="35" t="n">
        <x:v>0</x:v>
      </x:c>
      <x:c r="F14" s="35" t="n">
        <x:v>0</x:v>
      </x:c>
      <x:c r="G14" s="35" t="n">
        <x:v>0</x:v>
      </x:c>
      <x:c r="H14" s="35" t="n">
        <x:v>0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</x:row>
    <x:row r="15" ht="25" customHeight="1">
      <x:c r="A15" s="34"/>
      <x:c r="B15" s="34" t="str">
        <x:v>Средне</x:v>
      </x:c>
      <x:c r="C15" s="35" t="n">
        <x:v>0</x:v>
      </x:c>
      <x:c r="D15" s="35" t="n">
        <x:v>1</x:v>
      </x:c>
      <x:c r="E15" s="35" t="n">
        <x:v>1</x:v>
      </x:c>
      <x:c r="F15" s="35" t="n">
        <x:v>1</x:v>
      </x:c>
      <x:c r="G15" s="35" t="n">
        <x:v>1</x:v>
      </x:c>
      <x:c r="H15" s="35" t="n">
        <x:v>0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</x:row>
    <x:row r="16" ht="25" customHeight="1">
      <x:c r="A16" s="34"/>
      <x:c r="B16" s="34" t="str">
        <x:v>Далеко</x:v>
      </x:c>
      <x:c r="C16" s="35" t="n">
        <x:v>0</x:v>
      </x:c>
      <x:c r="D16" s="35" t="n">
        <x:v>0</x:v>
      </x:c>
      <x:c r="E16" s="35" t="n">
        <x:v>0</x:v>
      </x:c>
      <x:c r="F16" s="35" t="n">
        <x:v>0</x:v>
      </x:c>
      <x:c r="G16" s="35" t="n">
        <x:v>0</x:v>
      </x:c>
      <x:c r="H16" s="35" t="n">
        <x:v>1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2" customHeight="1">
      <x:c r="A17" s="75" t="str">
        <x:v>На пограничных интервалах оценки экспертов различаются.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2" customHeight="1">
      <x:c r="A19" s="1"/>
      <x:c r="B19" s="42" t="str">
        <x:v>Термы</x:v>
      </x:c>
      <x:c r="C19" s="42" t="str">
        <x:v>0–1 км</x:v>
      </x:c>
      <x:c r="D19" s="42" t="str">
        <x:v>1–2 км</x:v>
      </x:c>
      <x:c r="E19" s="42" t="str">
        <x:v>2–3 км</x:v>
      </x:c>
      <x:c r="F19" s="42" t="str">
        <x:v>3–4 км</x:v>
      </x:c>
      <x:c r="G19" s="42" t="str">
        <x:v>4–5 км</x:v>
      </x:c>
      <x:c r="H19" s="42" t="str">
        <x:v>5–6 км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2" customHeight="1">
      <x:c r="A20" s="1"/>
      <x:c r="B20" s="43" t="str">
        <x:v>Близко</x:v>
      </x:c>
      <x:c r="C20" s="43" t="n">
        <x:f>IF(COUNT(C2,C5,C8,C11,C14)=5,SUM(C2,C5,C8,C11,C14),"")</x:f>
        <x:v>5</x:v>
      </x:c>
      <x:c r="D20" s="43" t="n">
        <x:f>IF(COUNT(D2,D5,D8,D11,D14)=5,SUM(D2,D5,D8,D11,D14),"")</x:f>
        <x:v>2</x:v>
      </x:c>
      <x:c r="E20" s="43" t="n">
        <x:f>IF(COUNT(E2,E5,E8,E11,E14)=5,SUM(E2,E5,E8,E11,E14),"")</x:f>
        <x:v>0</x:v>
      </x:c>
      <x:c r="F20" s="43" t="n">
        <x:f>IF(COUNT(F2,F5,F8,F11,F14)=5,SUM(F2,F5,F8,F11,F14),"")</x:f>
        <x:v>0</x:v>
      </x:c>
      <x:c r="G20" s="43" t="n">
        <x:f>IF(COUNT(G2,G5,G8,G11,G14)=5,SUM(G2,G5,G8,G11,G14),"")</x:f>
        <x:v>0</x:v>
      </x:c>
      <x:c r="H20" s="43" t="n">
        <x:f>IF(COUNT(H2,H5,H8,H11,H14)=5,SUM(H2,H5,H8,H11,H14),"")</x:f>
        <x:v>0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2" customHeight="1">
      <x:c r="A21" s="1"/>
      <x:c r="B21" s="45" t="str">
        <x:v>Степень</x:v>
      </x:c>
      <x:c r="C21" s="46" t="n">
        <x:f>IF(COUNT(C20)=0,"",C20/5)</x:f>
        <x:v>1</x:v>
      </x:c>
      <x:c r="D21" s="46" t="n">
        <x:f>IF(COUNT(D20)=0,"",D20/5)</x:f>
        <x:v>0.4</x:v>
      </x:c>
      <x:c r="E21" s="46" t="n">
        <x:f>IF(COUNT(E20)=0,"",E20/5)</x:f>
        <x:v>0</x:v>
      </x:c>
      <x:c r="F21" s="46" t="n">
        <x:f>IF(COUNT(F20)=0,"",F20/5)</x:f>
        <x:v>0</x:v>
      </x:c>
      <x:c r="G21" s="46" t="n">
        <x:f>IF(COUNT(G20)=0,"",G20/5)</x:f>
        <x:v>0</x:v>
      </x:c>
      <x:c r="H21" s="46" t="n">
        <x:f>IF(COUNT(H20)=0,"",H20/5)</x:f>
        <x:v>0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2" customHeight="1">
      <x:c r="A22" s="1"/>
      <x:c r="B22" s="43" t="str">
        <x:v>Средне</x:v>
      </x:c>
      <x:c r="C22" s="43" t="n">
        <x:f>IF(COUNT(C3,C6,C9,C12,C15)=5,SUM(C3,C6,C9,C12,C15),"")</x:f>
        <x:v>0</x:v>
      </x:c>
      <x:c r="D22" s="43" t="n">
        <x:f>IF(COUNT(D3,D6,D9,D12,D15)=5,SUM(D3,D6,D9,D12,D15),"")</x:f>
        <x:v>3</x:v>
      </x:c>
      <x:c r="E22" s="43" t="n">
        <x:f>IF(COUNT(E3,E6,E9,E12,E15)=5,SUM(E3,E6,E9,E12,E15),"")</x:f>
        <x:v>5</x:v>
      </x:c>
      <x:c r="F22" s="43" t="n">
        <x:f>IF(COUNT(F3,F6,F9,F12,F15)=5,SUM(F3,F6,F9,F12,F15),"")</x:f>
        <x:v>5</x:v>
      </x:c>
      <x:c r="G22" s="43" t="n">
        <x:f>IF(COUNT(G3,G6,G9,G12,G15)=5,SUM(G3,G6,G9,G12,G15),"")</x:f>
        <x:v>1</x:v>
      </x:c>
      <x:c r="H22" s="43" t="n">
        <x:f>IF(COUNT(H3,H6,H9,H12,H15)=5,SUM(H3,H6,H9,H12,H15),"")</x:f>
        <x:v>0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2" customHeight="1">
      <x:c r="A23" s="1"/>
      <x:c r="B23" s="45" t="str">
        <x:v>Степень</x:v>
      </x:c>
      <x:c r="C23" s="46" t="n">
        <x:f>IF(COUNT(C22)=0,"",C22/5)</x:f>
        <x:v>0</x:v>
      </x:c>
      <x:c r="D23" s="46" t="n">
        <x:f>IF(COUNT(D22)=0,"",D22/5)</x:f>
        <x:v>0.6</x:v>
      </x:c>
      <x:c r="E23" s="46" t="n">
        <x:f>IF(COUNT(E22)=0,"",E22/5)</x:f>
        <x:v>1</x:v>
      </x:c>
      <x:c r="F23" s="46" t="n">
        <x:f>IF(COUNT(F22)=0,"",F22/5)</x:f>
        <x:v>1</x:v>
      </x:c>
      <x:c r="G23" s="46" t="n">
        <x:f>IF(COUNT(G22)=0,"",G22/5)</x:f>
        <x:v>0.2</x:v>
      </x:c>
      <x:c r="H23" s="46" t="n">
        <x:f>IF(COUNT(H22)=0,"",H22/5)</x:f>
        <x:v>0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2" customHeight="1">
      <x:c r="A24" s="1"/>
      <x:c r="B24" s="43" t="str">
        <x:v>Далеко</x:v>
      </x:c>
      <x:c r="C24" s="43" t="n">
        <x:f>IF(COUNT(C4,C7,C10,C13,C16)=5,SUM(C4,C7,C10,C13,C16),"")</x:f>
        <x:v>0</x:v>
      </x:c>
      <x:c r="D24" s="43" t="n">
        <x:f>IF(COUNT(D4,D7,D10,D13,D16)=5,SUM(D4,D7,D10,D13,D16),"")</x:f>
        <x:v>0</x:v>
      </x:c>
      <x:c r="E24" s="43" t="n">
        <x:f>IF(COUNT(E4,E7,E10,E13,E16)=5,SUM(E4,E7,E10,E13,E16),"")</x:f>
        <x:v>0</x:v>
      </x:c>
      <x:c r="F24" s="43" t="n">
        <x:f>IF(COUNT(F4,F7,F10,F13,F16)=5,SUM(F4,F7,F10,F13,F16),"")</x:f>
        <x:v>0</x:v>
      </x:c>
      <x:c r="G24" s="43" t="n">
        <x:f>IF(COUNT(G4,G7,G10,G13,G16)=5,SUM(G4,G7,G10,G13,G16),"")</x:f>
        <x:v>4</x:v>
      </x:c>
      <x:c r="H24" s="43" t="n">
        <x:f>IF(COUNT(H4,H7,H10,H13,H16)=5,SUM(H4,H7,H10,H13,H16),"")</x:f>
        <x:v>5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2" customHeight="1">
      <x:c r="A25" s="1"/>
      <x:c r="B25" s="45" t="str">
        <x:v>Степень</x:v>
      </x:c>
      <x:c r="C25" s="46" t="n">
        <x:f>IF(COUNT(C24)=0,"",C24/5)</x:f>
        <x:v>0</x:v>
      </x:c>
      <x:c r="D25" s="46" t="n">
        <x:f>IF(COUNT(D24)=0,"",D24/5)</x:f>
        <x:v>0</x:v>
      </x:c>
      <x:c r="E25" s="46" t="n">
        <x:f>IF(COUNT(E24)=0,"",E24/5)</x:f>
        <x:v>0</x:v>
      </x:c>
      <x:c r="F25" s="46" t="n">
        <x:f>IF(COUNT(F24)=0,"",F24/5)</x:f>
        <x:v>0</x:v>
      </x:c>
      <x:c r="G25" s="46" t="n">
        <x:f>IF(COUNT(G24)=0,"",G24/5)</x:f>
        <x:v>0.8</x:v>
      </x:c>
      <x:c r="H25" s="46" t="n">
        <x:f>IF(COUNT(H24)=0,"",H24/5)</x:f>
        <x:v>1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2" customHeight="1">
      <x:c r="A27" s="1"/>
      <x:c r="B27" s="47" t="str">
        <x:v>Степень принадлежности = число голосов / 5. Метод: «Лабораторная 1.pptx».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7" customHeight="1">
      <x:c r="A29" s="48" t="str">
        <x:v>Интервал, км</x:v>
      </x:c>
      <x:c r="B29" s="48" t="str">
        <x:v>Близко</x:v>
      </x:c>
      <x:c r="C29" s="48" t="str">
        <x:v>Средне</x:v>
      </x:c>
      <x:c r="D29" s="48" t="str">
        <x:v>Далеко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2" customHeight="1">
      <x:c r="A30" s="49" t="str">
        <x:v>0–1</x:v>
      </x:c>
      <x:c r="B30" s="50" t="n">
        <x:f>C21</x:f>
        <x:v>1</x:v>
      </x:c>
      <x:c r="C30" s="50" t="n">
        <x:f>C23</x:f>
        <x:v>0</x:v>
      </x:c>
      <x:c r="D30" s="50" t="n">
        <x:f>C25</x:f>
        <x:v>0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2" customHeight="1">
      <x:c r="A31" s="49" t="str">
        <x:v>1–2</x:v>
      </x:c>
      <x:c r="B31" s="50" t="n">
        <x:f>D21</x:f>
        <x:v>0.4</x:v>
      </x:c>
      <x:c r="C31" s="50" t="n">
        <x:f>D23</x:f>
        <x:v>0.6</x:v>
      </x:c>
      <x:c r="D31" s="50" t="n">
        <x:f>D25</x:f>
        <x:v>0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2" customHeight="1">
      <x:c r="A32" s="49" t="str">
        <x:v>2–3</x:v>
      </x:c>
      <x:c r="B32" s="50" t="n">
        <x:f>E21</x:f>
        <x:v>0</x:v>
      </x:c>
      <x:c r="C32" s="50" t="n">
        <x:f>E23</x:f>
        <x:v>1</x:v>
      </x:c>
      <x:c r="D32" s="50" t="n">
        <x:f>E25</x:f>
        <x:v>0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2" customHeight="1">
      <x:c r="A33" s="49" t="str">
        <x:v>3–4</x:v>
      </x:c>
      <x:c r="B33" s="50" t="n">
        <x:f>F21</x:f>
        <x:v>0</x:v>
      </x:c>
      <x:c r="C33" s="50" t="n">
        <x:f>F23</x:f>
        <x:v>1</x:v>
      </x:c>
      <x:c r="D33" s="50" t="n">
        <x:f>F25</x:f>
        <x:v>0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2" customHeight="1">
      <x:c r="A34" s="49" t="str">
        <x:v>4–5</x:v>
      </x:c>
      <x:c r="B34" s="50" t="n">
        <x:f>G21</x:f>
        <x:v>0</x:v>
      </x:c>
      <x:c r="C34" s="50" t="n">
        <x:f>G23</x:f>
        <x:v>0.2</x:v>
      </x:c>
      <x:c r="D34" s="50" t="n">
        <x:f>G25</x:f>
        <x:v>0.8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2" customHeight="1">
      <x:c r="A35" s="49" t="str">
        <x:v>5–6</x:v>
      </x:c>
      <x:c r="B35" s="50" t="n">
        <x:f>H21</x:f>
        <x:v>0</x:v>
      </x:c>
      <x:c r="C35" s="50" t="n">
        <x:f>H23</x:f>
        <x:v>0</x:v>
      </x:c>
      <x:c r="D35" s="50" t="n">
        <x:f>H25</x:f>
        <x:v>1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</x:sheetData>
  <x:mergeCells>
    <x:mergeCell ref="A2:A4"/>
    <x:mergeCell ref="A5:A7"/>
    <x:mergeCell ref="A8:A10"/>
    <x:mergeCell ref="A11:A13"/>
    <x:mergeCell ref="A14:A16"/>
  </x:mergeCells>
  <x:dataValidations count="1">
    <x:dataValidation type="whole" operator="between" sqref="C2:H16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dfc920a614864985"/>
</x:worksheet>
</file>

<file path=xl/worksheets/sheet2.xml><?xml version="1.0" encoding="utf-8"?>
<x:worksheet xmlns:x="http://schemas.openxmlformats.org/spreadsheetml/2006/main">
  <x:sheetPr>
    <x:tabColor rgb="FF587899"/>
  </x:sheetPr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2" customHeight="1">
      <x:c r="A2" s="51" t="str">
        <x:v>Парные сравнения расстояния пешком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2" customHeight="1">
      <x:c r="A3" s="52"/>
      <x:c r="B3" s="52"/>
      <x:c r="C3" s="52"/>
      <x:c r="D3" s="52"/>
      <x:c r="E3" s="52"/>
      <x:c r="F3" s="52"/>
      <x:c r="G3" s="52"/>
      <x:c r="H3" s="52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2" customHeight="1">
      <x:c r="A4" s="53" t="str">
        <x:v>Учебный пример: модельные оценки одного эксперта. Жёлтые ячейки — самостоятельные парные сравнения по шкале Саати.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2" customHeight="1">
      <x:c r="A5" s="53" t="str">
        <x:v>Собственный вектор и степени принадлежности вычисляются на листе «Расчёт» из матриц ниже.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5" customHeight="1">
      <x:c r="A6" s="55" t="str">
        <x:v>Степени принадлежности</x:v>
      </x:c>
      <x:c r="B6" s="55"/>
      <x:c r="C6" s="55"/>
      <x:c r="D6" s="55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7" customHeight="1">
      <x:c r="A7" s="4" t="str">
        <x:v>Интервал, км</x:v>
      </x:c>
      <x:c r="B7" s="4" t="str">
        <x:v>Близко</x:v>
      </x:c>
      <x:c r="C7" s="4" t="str">
        <x:v>Средне</x:v>
      </x:c>
      <x:c r="D7" s="4" t="str">
        <x:v>Далеко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2" customHeight="1">
      <x:c r="A8" s="1" t="str">
        <x:v>0–1</x:v>
      </x:c>
      <x:c r="B8" s="56" t="n">
        <x:f>IF(COUNT('Расчёт'!C6)=0,"",'Расчёт'!C6)</x:f>
        <x:v>1</x:v>
      </x:c>
      <x:c r="C8" s="56" t="n">
        <x:f>IF(COUNT('Расчёт'!E6)=0,"",'Расчёт'!E6)</x:f>
        <x:v>0.16032107656211758</x:v>
      </x:c>
      <x:c r="D8" s="56" t="n">
        <x:f>IF(COUNT('Расчёт'!G6)=0,"",'Расчёт'!G6)</x:f>
        <x:v>0.07337614612885912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22" customHeight="1">
      <x:c r="A9" s="1" t="str">
        <x:v>1–2</x:v>
      </x:c>
      <x:c r="B9" s="56" t="n">
        <x:f>IF(COUNT('Расчёт'!C7)=0,"",'Расчёт'!C7)</x:f>
        <x:v>0.47820114223609855</x:v>
      </x:c>
      <x:c r="C9" s="56" t="n">
        <x:f>IF(COUNT('Расчёт'!E7)=0,"",'Расчёт'!E7)</x:f>
        <x:v>0.2432067049486115</x:v>
      </x:c>
      <x:c r="D9" s="56" t="n">
        <x:f>IF(COUNT('Расчёт'!G7)=0,"",'Расчёт'!G7)</x:f>
        <x:v>0.1064679683934515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</x:row>
    <x:row r="10" ht="22" customHeight="1">
      <x:c r="A10" s="1" t="str">
        <x:v>2–3</x:v>
      </x:c>
      <x:c r="B10" s="56" t="n">
        <x:f>IF(COUNT('Расчёт'!C8)=0,"",'Расчёт'!C8)</x:f>
        <x:v>0.2770361974873514</x:v>
      </x:c>
      <x:c r="C10" s="56" t="n">
        <x:f>IF(COUNT('Расчёт'!E8)=0,"",'Расчёт'!E8)</x:f>
        <x:v>0.7577794111319934</x:v>
      </x:c>
      <x:c r="D10" s="56" t="n">
        <x:f>IF(COUNT('Расчёт'!G8)=0,"",'Расчёт'!G8)</x:f>
        <x:v>0.18724145654972635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</x:row>
    <x:row r="11" ht="22" customHeight="1">
      <x:c r="A11" s="1" t="str">
        <x:v>3–4</x:v>
      </x:c>
      <x:c r="B11" s="56" t="n">
        <x:f>IF(COUNT('Расчёт'!C9)=0,"",'Расчёт'!C9)</x:f>
        <x:v>0.1546986592126158</x:v>
      </x:c>
      <x:c r="C11" s="56" t="n">
        <x:f>IF(COUNT('Расчёт'!E9)=0,"",'Расчёт'!E9)</x:f>
        <x:v>1</x:v>
      </x:c>
      <x:c r="D11" s="56" t="n">
        <x:f>IF(COUNT('Расчёт'!G9)=0,"",'Расчёт'!G9)</x:f>
        <x:v>0.33334887935591034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</x:row>
    <x:row r="12" ht="22" customHeight="1">
      <x:c r="A12" s="1" t="str">
        <x:v>4–5</x:v>
      </x:c>
      <x:c r="B12" s="56" t="n">
        <x:f>IF(COUNT('Расчёт'!C10)=0,"",'Расчёт'!C10)</x:f>
        <x:v>0.08695898140989367</x:v>
      </x:c>
      <x:c r="C12" s="56" t="n">
        <x:f>IF(COUNT('Расчёт'!E10)=0,"",'Расчёт'!E10)</x:f>
        <x:v>0.40668791235691626</x:v>
      </x:c>
      <x:c r="D12" s="56" t="n">
        <x:f>IF(COUNT('Расчёт'!G10)=0,"",'Расчёт'!G10)</x:f>
        <x:v>0.564990855026631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</x:row>
    <x:row r="13" ht="22" customHeight="1">
      <x:c r="A13" s="57" t="str">
        <x:v>5–6</x:v>
      </x:c>
      <x:c r="B13" s="58" t="n">
        <x:f>IF(COUNT('Расчёт'!C11)=0,"",'Расчёт'!C11)</x:f>
        <x:v>0.05750905042806711</x:v>
      </x:c>
      <x:c r="C13" s="58" t="n">
        <x:f>IF(COUNT('Расчёт'!E11)=0,"",'Расчёт'!E11)</x:f>
        <x:v>0.13523768715709014</x:v>
      </x:c>
      <x:c r="D13" s="58" t="n">
        <x:f>IF(COUNT('Расчёт'!G11)=0,"",'Расчёт'!G11)</x:f>
        <x:v>1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</x:row>
    <x:row r="16" ht="25" customHeight="1">
      <x:c r="A16" s="55" t="str">
        <x:v>Согласованность сравнений</x:v>
      </x:c>
      <x:c r="B16" s="55"/>
      <x:c r="C16" s="55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7" customHeight="1">
      <x:c r="A17" s="4" t="str">
        <x:v>Терм</x:v>
      </x:c>
      <x:c r="B17" s="4" t="str">
        <x:v>λ max</x:v>
      </x:c>
      <x:c r="C17" s="4" t="str">
        <x:v>λ max − 6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2" customHeight="1">
      <x:c r="A18" s="1" t="str">
        <x:v>Близко</x:v>
      </x:c>
      <x:c r="B18" s="59" t="n">
        <x:f>IF(COUNT('Расчёт'!X21)=0,"",'Расчёт'!X21)</x:f>
        <x:v>6.202887315175002</x:v>
      </x:c>
      <x:c r="C18" s="59" t="n">
        <x:f>IF(COUNT('Расчёт'!X22)=0,"",'Расчёт'!X22)</x:f>
        <x:v>0.20288731517500214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2" customHeight="1">
      <x:c r="A19" s="1" t="str">
        <x:v>Средне</x:v>
      </x:c>
      <x:c r="B19" s="59" t="n">
        <x:f>IF(COUNT('Расчёт'!X31)=0,"",'Расчёт'!X31)</x:f>
        <x:v>6.127550331823165</x:v>
      </x:c>
      <x:c r="C19" s="59" t="n">
        <x:f>IF(COUNT('Расчёт'!X32)=0,"",'Расчёт'!X32)</x:f>
        <x:v>0.12755033182316478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2" customHeight="1">
      <x:c r="A20" s="57" t="str">
        <x:v>Далеко</x:v>
      </x:c>
      <x:c r="B20" s="60" t="n">
        <x:f>IF(COUNT('Расчёт'!X41)=0,"",'Расчёт'!X41)</x:f>
        <x:v>6.098955029082606</x:v>
      </x:c>
      <x:c r="C20" s="60" t="n">
        <x:f>IF(COUNT('Расчёт'!X42)=0,"",'Расчёт'!X42)</x:f>
        <x:v>0.09895502908260578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2" customHeight="1">
      <x:c r="A22" s="47" t="str">
        <x:v>Каждая матрица содержит 15 самостоятельных сравнений; диагональ равна 1, противоположные элементы взаимно обратны. μ = W / max(W).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5" customHeight="1">
      <x:c r="A25" s="55" t="str">
        <x:v>Матрица: близко</x:v>
      </x:c>
      <x:c r="B25" s="55"/>
      <x:c r="C25" s="55"/>
      <x:c r="D25" s="55"/>
      <x:c r="E25" s="55"/>
      <x:c r="F25" s="55"/>
      <x:c r="G25" s="55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7" customHeight="1">
      <x:c r="A27" s="4" t="str">
        <x:v>Строка / столбец</x:v>
      </x:c>
      <x:c r="B27" s="4" t="str">
        <x:v>0–1</x:v>
      </x:c>
      <x:c r="C27" s="4" t="str">
        <x:v>1–2</x:v>
      </x:c>
      <x:c r="D27" s="4" t="str">
        <x:v>2–3</x:v>
      </x:c>
      <x:c r="E27" s="4" t="str">
        <x:v>3–4</x:v>
      </x:c>
      <x:c r="F27" s="4" t="str">
        <x:v>4–5</x:v>
      </x:c>
      <x:c r="G27" s="4" t="str">
        <x:v>5–6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2" customHeight="1">
      <x:c r="A28" s="1" t="str">
        <x:v>0–1</x:v>
      </x:c>
      <x:c r="B28" s="61" t="n">
        <x:v>1</x:v>
      </x:c>
      <x:c r="C28" s="62" t="n">
        <x:v>3</x:v>
      </x:c>
      <x:c r="D28" s="62" t="n">
        <x:v>5</x:v>
      </x:c>
      <x:c r="E28" s="62" t="n">
        <x:v>7</x:v>
      </x:c>
      <x:c r="F28" s="62" t="n">
        <x:v>9</x:v>
      </x:c>
      <x:c r="G28" s="62" t="n">
        <x:v>9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2" customHeight="1">
      <x:c r="A29" s="1" t="str">
        <x:v>1–2</x:v>
      </x:c>
      <x:c r="B29" s="63" t="n">
        <x:f>IF(C28="","",1/C28)</x:f>
        <x:v>0.3333333333333333</x:v>
      </x:c>
      <x:c r="C29" s="61" t="n">
        <x:v>1</x:v>
      </x:c>
      <x:c r="D29" s="62" t="n">
        <x:v>2</x:v>
      </x:c>
      <x:c r="E29" s="62" t="n">
        <x:v>4</x:v>
      </x:c>
      <x:c r="F29" s="62" t="n">
        <x:v>6</x:v>
      </x:c>
      <x:c r="G29" s="62" t="n">
        <x:v>8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2" customHeight="1">
      <x:c r="A30" s="1" t="str">
        <x:v>2–3</x:v>
      </x:c>
      <x:c r="B30" s="63" t="n">
        <x:f>IF(D28="","",1/D28)</x:f>
        <x:v>0.2</x:v>
      </x:c>
      <x:c r="C30" s="63" t="n">
        <x:f>IF(D29="","",1/D29)</x:f>
        <x:v>0.5</x:v>
      </x:c>
      <x:c r="D30" s="61" t="n">
        <x:v>1</x:v>
      </x:c>
      <x:c r="E30" s="62" t="n">
        <x:v>2</x:v>
      </x:c>
      <x:c r="F30" s="62" t="n">
        <x:v>4</x:v>
      </x:c>
      <x:c r="G30" s="62" t="n">
        <x:v>6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2" customHeight="1">
      <x:c r="A31" s="1" t="str">
        <x:v>3–4</x:v>
      </x:c>
      <x:c r="B31" s="63" t="n">
        <x:f>IF(E28="","",1/E28)</x:f>
        <x:v>0.14285714285714285</x:v>
      </x:c>
      <x:c r="C31" s="63" t="n">
        <x:f>IF(E29="","",1/E29)</x:f>
        <x:v>0.25</x:v>
      </x:c>
      <x:c r="D31" s="63" t="n">
        <x:f>IF(E30="","",1/E30)</x:f>
        <x:v>0.5</x:v>
      </x:c>
      <x:c r="E31" s="61" t="n">
        <x:v>1</x:v>
      </x:c>
      <x:c r="F31" s="62" t="n">
        <x:v>2</x:v>
      </x:c>
      <x:c r="G31" s="62" t="n">
        <x:v>4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2" customHeight="1">
      <x:c r="A32" s="1" t="str">
        <x:v>4–5</x:v>
      </x:c>
      <x:c r="B32" s="63" t="n">
        <x:f>IF(F28="","",1/F28)</x:f>
        <x:v>0.1111111111111111</x:v>
      </x:c>
      <x:c r="C32" s="63" t="n">
        <x:f>IF(F29="","",1/F29)</x:f>
        <x:v>0.16666666666666666</x:v>
      </x:c>
      <x:c r="D32" s="63" t="n">
        <x:f>IF(F30="","",1/F30)</x:f>
        <x:v>0.25</x:v>
      </x:c>
      <x:c r="E32" s="63" t="n">
        <x:f>IF(F31="","",1/F31)</x:f>
        <x:v>0.5</x:v>
      </x:c>
      <x:c r="F32" s="61" t="n">
        <x:v>1</x:v>
      </x:c>
      <x:c r="G32" s="62" t="n">
        <x:v>2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2" customHeight="1">
      <x:c r="A33" s="57" t="str">
        <x:v>5–6</x:v>
      </x:c>
      <x:c r="B33" s="64" t="n">
        <x:f>IF(G28="","",1/G28)</x:f>
        <x:v>0.1111111111111111</x:v>
      </x:c>
      <x:c r="C33" s="64" t="n">
        <x:f>IF(G29="","",1/G29)</x:f>
        <x:v>0.125</x:v>
      </x:c>
      <x:c r="D33" s="64" t="n">
        <x:f>IF(G30="","",1/G30)</x:f>
        <x:v>0.16666666666666666</x:v>
      </x:c>
      <x:c r="E33" s="64" t="n">
        <x:f>IF(G31="","",1/G31)</x:f>
        <x:v>0.25</x:v>
      </x:c>
      <x:c r="F33" s="64" t="n">
        <x:f>IF(G32="","",1/G32)</x:f>
        <x:v>0.5</x:v>
      </x:c>
      <x:c r="G33" s="65" t="n">
        <x:v>1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5" customHeight="1">
      <x:c r="A37" s="55" t="str">
        <x:v>Матрица: средне</x:v>
      </x:c>
      <x:c r="B37" s="55"/>
      <x:c r="C37" s="55"/>
      <x:c r="D37" s="55"/>
      <x:c r="E37" s="55"/>
      <x:c r="F37" s="55"/>
      <x:c r="G37" s="55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7" customHeight="1">
      <x:c r="A39" s="4" t="str">
        <x:v>Строка / столбец</x:v>
      </x:c>
      <x:c r="B39" s="4" t="str">
        <x:v>0–1</x:v>
      </x:c>
      <x:c r="C39" s="4" t="str">
        <x:v>1–2</x:v>
      </x:c>
      <x:c r="D39" s="4" t="str">
        <x:v>2–3</x:v>
      </x:c>
      <x:c r="E39" s="4" t="str">
        <x:v>3–4</x:v>
      </x:c>
      <x:c r="F39" s="4" t="str">
        <x:v>4–5</x:v>
      </x:c>
      <x:c r="G39" s="4" t="str">
        <x:v>5–6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2" customHeight="1">
      <x:c r="A40" s="1" t="str">
        <x:v>0–1</x:v>
      </x:c>
      <x:c r="B40" s="61" t="n">
        <x:v>1</x:v>
      </x:c>
      <x:c r="C40" s="62" t="n">
        <x:v>0.5</x:v>
      </x:c>
      <x:c r="D40" s="62" t="n">
        <x:v>0.2</x:v>
      </x:c>
      <x:c r="E40" s="62" t="n">
        <x:v>0.14285714285714285</x:v>
      </x:c>
      <x:c r="F40" s="62" t="n">
        <x:v>0.3333333333333333</x:v>
      </x:c>
      <x:c r="G40" s="62" t="n">
        <x:v>2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2" customHeight="1">
      <x:c r="A41" s="1" t="str">
        <x:v>1–2</x:v>
      </x:c>
      <x:c r="B41" s="63" t="n">
        <x:f>IF(C40="","",1/C40)</x:f>
        <x:v>2</x:v>
      </x:c>
      <x:c r="C41" s="61" t="n">
        <x:v>1</x:v>
      </x:c>
      <x:c r="D41" s="62" t="n">
        <x:v>0.3333333333333333</x:v>
      </x:c>
      <x:c r="E41" s="62" t="n">
        <x:v>0.2</x:v>
      </x:c>
      <x:c r="F41" s="62" t="n">
        <x:v>0.5</x:v>
      </x:c>
      <x:c r="G41" s="62" t="n">
        <x:v>2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2" customHeight="1">
      <x:c r="A42" s="1" t="str">
        <x:v>2–3</x:v>
      </x:c>
      <x:c r="B42" s="63" t="n">
        <x:f>IF(D40="","",1/D40)</x:f>
        <x:v>5</x:v>
      </x:c>
      <x:c r="C42" s="63" t="n">
        <x:f>IF(D41="","",1/D41)</x:f>
        <x:v>3</x:v>
      </x:c>
      <x:c r="D42" s="61" t="n">
        <x:v>1</x:v>
      </x:c>
      <x:c r="E42" s="62" t="n">
        <x:v>1</x:v>
      </x:c>
      <x:c r="F42" s="62" t="n">
        <x:v>2</x:v>
      </x:c>
      <x:c r="G42" s="62" t="n">
        <x:v>4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2" customHeight="1">
      <x:c r="A43" s="1" t="str">
        <x:v>3–4</x:v>
      </x:c>
      <x:c r="B43" s="63" t="n">
        <x:f>IF(E40="","",1/E40)</x:f>
        <x:v>7</x:v>
      </x:c>
      <x:c r="C43" s="63" t="n">
        <x:f>IF(E41="","",1/E41)</x:f>
        <x:v>5</x:v>
      </x:c>
      <x:c r="D43" s="63" t="n">
        <x:f>IF(E42="","",1/E42)</x:f>
        <x:v>1</x:v>
      </x:c>
      <x:c r="E43" s="61" t="n">
        <x:v>1</x:v>
      </x:c>
      <x:c r="F43" s="62" t="n">
        <x:v>3</x:v>
      </x:c>
      <x:c r="G43" s="62" t="n">
        <x:v>6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2" customHeight="1">
      <x:c r="A44" s="1" t="str">
        <x:v>4–5</x:v>
      </x:c>
      <x:c r="B44" s="63" t="n">
        <x:f>IF(F40="","",1/F40)</x:f>
        <x:v>3</x:v>
      </x:c>
      <x:c r="C44" s="63" t="n">
        <x:f>IF(F41="","",1/F41)</x:f>
        <x:v>2</x:v>
      </x:c>
      <x:c r="D44" s="63" t="n">
        <x:f>IF(F42="","",1/F42)</x:f>
        <x:v>0.5</x:v>
      </x:c>
      <x:c r="E44" s="63" t="n">
        <x:f>IF(F43="","",1/F43)</x:f>
        <x:v>0.3333333333333333</x:v>
      </x:c>
      <x:c r="F44" s="61" t="n">
        <x:v>1</x:v>
      </x:c>
      <x:c r="G44" s="62" t="n">
        <x:v>3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2" customHeight="1">
      <x:c r="A45" s="57" t="str">
        <x:v>5–6</x:v>
      </x:c>
      <x:c r="B45" s="64" t="n">
        <x:f>IF(G40="","",1/G40)</x:f>
        <x:v>0.5</x:v>
      </x:c>
      <x:c r="C45" s="64" t="n">
        <x:f>IF(G41="","",1/G41)</x:f>
        <x:v>0.5</x:v>
      </x:c>
      <x:c r="D45" s="64" t="n">
        <x:f>IF(G42="","",1/G42)</x:f>
        <x:v>0.25</x:v>
      </x:c>
      <x:c r="E45" s="64" t="n">
        <x:f>IF(G43="","",1/G43)</x:f>
        <x:v>0.16666666666666666</x:v>
      </x:c>
      <x:c r="F45" s="64" t="n">
        <x:f>IF(G44="","",1/G44)</x:f>
        <x:v>0.3333333333333333</x:v>
      </x:c>
      <x:c r="G45" s="65" t="n">
        <x:v>1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5" customHeight="1">
      <x:c r="A49" s="55" t="str">
        <x:v>Матрица: далеко</x:v>
      </x:c>
      <x:c r="B49" s="55"/>
      <x:c r="C49" s="55"/>
      <x:c r="D49" s="55"/>
      <x:c r="E49" s="55"/>
      <x:c r="F49" s="55"/>
      <x:c r="G49" s="55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7" customHeight="1">
      <x:c r="A51" s="4" t="str">
        <x:v>Строка / столбец</x:v>
      </x:c>
      <x:c r="B51" s="4" t="str">
        <x:v>0–1</x:v>
      </x:c>
      <x:c r="C51" s="4" t="str">
        <x:v>1–2</x:v>
      </x:c>
      <x:c r="D51" s="4" t="str">
        <x:v>2–3</x:v>
      </x:c>
      <x:c r="E51" s="4" t="str">
        <x:v>3–4</x:v>
      </x:c>
      <x:c r="F51" s="4" t="str">
        <x:v>4–5</x:v>
      </x:c>
      <x:c r="G51" s="4" t="str">
        <x:v>5–6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2" customHeight="1">
      <x:c r="A52" s="1" t="str">
        <x:v>0–1</x:v>
      </x:c>
      <x:c r="B52" s="61" t="n">
        <x:v>1</x:v>
      </x:c>
      <x:c r="C52" s="62" t="n">
        <x:v>0.5</x:v>
      </x:c>
      <x:c r="D52" s="62" t="n">
        <x:v>0.3333333333333333</x:v>
      </x:c>
      <x:c r="E52" s="62" t="n">
        <x:v>0.2</x:v>
      </x:c>
      <x:c r="F52" s="62" t="n">
        <x:v>0.14285714285714285</x:v>
      </x:c>
      <x:c r="G52" s="62" t="n">
        <x:v>0.1111111111111111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2" customHeight="1">
      <x:c r="A53" s="1" t="str">
        <x:v>1–2</x:v>
      </x:c>
      <x:c r="B53" s="63" t="n">
        <x:f>IF(C52="","",1/C52)</x:f>
        <x:v>2</x:v>
      </x:c>
      <x:c r="C53" s="61" t="n">
        <x:v>1</x:v>
      </x:c>
      <x:c r="D53" s="62" t="n">
        <x:v>0.5</x:v>
      </x:c>
      <x:c r="E53" s="62" t="n">
        <x:v>0.25</x:v>
      </x:c>
      <x:c r="F53" s="62" t="n">
        <x:v>0.16666666666666666</x:v>
      </x:c>
      <x:c r="G53" s="62" t="n">
        <x:v>0.125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2" customHeight="1">
      <x:c r="A54" s="1" t="str">
        <x:v>2–3</x:v>
      </x:c>
      <x:c r="B54" s="63" t="n">
        <x:f>IF(D52="","",1/D52)</x:f>
        <x:v>3</x:v>
      </x:c>
      <x:c r="C54" s="63" t="n">
        <x:f>IF(D53="","",1/D53)</x:f>
        <x:v>2</x:v>
      </x:c>
      <x:c r="D54" s="61" t="n">
        <x:v>1</x:v>
      </x:c>
      <x:c r="E54" s="62" t="n">
        <x:v>0.5</x:v>
      </x:c>
      <x:c r="F54" s="62" t="n">
        <x:v>0.3333333333333333</x:v>
      </x:c>
      <x:c r="G54" s="62" t="n">
        <x:v>0.16666666666666666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2" customHeight="1">
      <x:c r="A55" s="1" t="str">
        <x:v>3–4</x:v>
      </x:c>
      <x:c r="B55" s="63" t="n">
        <x:f>IF(E52="","",1/E52)</x:f>
        <x:v>5</x:v>
      </x:c>
      <x:c r="C55" s="63" t="n">
        <x:f>IF(E53="","",1/E53)</x:f>
        <x:v>4</x:v>
      </x:c>
      <x:c r="D55" s="63" t="n">
        <x:f>IF(E54="","",1/E54)</x:f>
        <x:v>2</x:v>
      </x:c>
      <x:c r="E55" s="61" t="n">
        <x:v>1</x:v>
      </x:c>
      <x:c r="F55" s="62" t="n">
        <x:v>0.5</x:v>
      </x:c>
      <x:c r="G55" s="62" t="n">
        <x:v>0.25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2" customHeight="1">
      <x:c r="A56" s="1" t="str">
        <x:v>4–5</x:v>
      </x:c>
      <x:c r="B56" s="63" t="n">
        <x:f>IF(F52="","",1/F52)</x:f>
        <x:v>7</x:v>
      </x:c>
      <x:c r="C56" s="63" t="n">
        <x:f>IF(F53="","",1/F53)</x:f>
        <x:v>6</x:v>
      </x:c>
      <x:c r="D56" s="63" t="n">
        <x:f>IF(F54="","",1/F54)</x:f>
        <x:v>3</x:v>
      </x:c>
      <x:c r="E56" s="63" t="n">
        <x:f>IF(F55="","",1/F55)</x:f>
        <x:v>2</x:v>
      </x:c>
      <x:c r="F56" s="61" t="n">
        <x:v>1</x:v>
      </x:c>
      <x:c r="G56" s="62" t="n">
        <x:v>0.5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2" customHeight="1">
      <x:c r="A57" s="57" t="str">
        <x:v>5–6</x:v>
      </x:c>
      <x:c r="B57" s="64" t="n">
        <x:f>IF(G52="","",1/G52)</x:f>
        <x:v>9</x:v>
      </x:c>
      <x:c r="C57" s="64" t="n">
        <x:f>IF(G53="","",1/G53)</x:f>
        <x:v>8</x:v>
      </x:c>
      <x:c r="D57" s="64" t="n">
        <x:f>IF(G54="","",1/G54)</x:f>
        <x:v>6</x:v>
      </x:c>
      <x:c r="E57" s="64" t="n">
        <x:f>IF(G55="","",1/G55)</x:f>
        <x:v>4</x:v>
      </x:c>
      <x:c r="F57" s="64" t="n">
        <x:f>IF(G56="","",1/G56)</x:f>
        <x:v>2</x:v>
      </x:c>
      <x:c r="G57" s="65" t="n">
        <x:v>1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2" customHeight="1">
      <x:c r="A60" s="47" t="str">
        <x:v>Метод: «Лабораторная 1.pptx». Парные оценки для расстояния пешком — учебный пример.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</x:sheetData>
  <x:pageMargins left="0.7" right="0.7" top="0.75" bottom="0.75" header="0.3" footer="0.3"/>
  <x:drawing xmlns:r="http://schemas.openxmlformats.org/officeDocument/2006/relationships" r:id="R916a9963a86a44b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</x:row>
    <x:row r="2">
      <x:c r="A2" s="67" t="s">
        <x:v>0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  <x:c r="S2" s="66"/>
      <x:c r="T2" s="66"/>
      <x:c r="U2" s="66"/>
      <x:c r="V2" s="66"/>
      <x:c r="W2" s="66"/>
      <x:c r="X2" s="66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  <x:c r="T3" s="66"/>
      <x:c r="U3" s="66"/>
      <x:c r="V3" s="66"/>
      <x:c r="W3" s="66"/>
      <x:c r="X3" s="66"/>
    </x:row>
    <x:row r="4">
      <x:c r="A4" s="69" t="s">
        <x:v>1</x:v>
      </x:c>
      <x:c r="B4" s="69"/>
      <x:c r="C4" s="69"/>
      <x:c r="D4" s="69"/>
      <x:c r="E4" s="69"/>
      <x:c r="F4" s="69"/>
      <x:c r="G4" s="69"/>
      <x:c r="H4" s="66"/>
      <x:c r="I4" s="66"/>
      <x:c r="J4" s="66"/>
      <x:c r="K4" s="66"/>
      <x:c r="L4" s="66"/>
      <x:c r="M4" s="66"/>
      <x:c r="N4" s="66"/>
      <x:c r="O4" s="66"/>
      <x:c r="P4" s="66"/>
      <x:c r="Q4" s="66"/>
      <x:c r="R4" s="66"/>
      <x:c r="S4" s="66"/>
      <x:c r="T4" s="66"/>
      <x:c r="U4" s="66"/>
      <x:c r="V4" s="66"/>
      <x:c r="W4" s="66"/>
      <x:c r="X4" s="66"/>
    </x:row>
    <x:row r="5">
      <x:c r="A5" s="71" t="str">
        <x:v>Интервал, км</x:v>
      </x:c>
      <x:c r="B5" s="71" t="str">
        <x:v>W близко</x:v>
      </x:c>
      <x:c r="C5" s="71" t="str">
        <x:v>μ близко</x:v>
      </x:c>
      <x:c r="D5" s="71" t="str">
        <x:v>W средне</x:v>
      </x:c>
      <x:c r="E5" s="71" t="str">
        <x:v>μ средне</x:v>
      </x:c>
      <x:c r="F5" s="71" t="str">
        <x:v>W далеко</x:v>
      </x:c>
      <x:c r="G5" s="71" t="str">
        <x:v>μ далеко</x:v>
      </x:c>
      <x:c r="H5" s="66"/>
      <x:c r="I5" s="66"/>
      <x:c r="J5" s="66"/>
      <x:c r="K5" s="66"/>
      <x:c r="L5" s="66"/>
      <x:c r="M5" s="66"/>
      <x:c r="N5" s="66"/>
      <x:c r="O5" s="66"/>
      <x:c r="P5" s="66"/>
      <x:c r="Q5" s="66"/>
      <x:c r="R5" s="66"/>
      <x:c r="S5" s="66"/>
      <x:c r="T5" s="66"/>
      <x:c r="U5" s="66"/>
      <x:c r="V5" s="66"/>
      <x:c r="W5" s="66"/>
      <x:c r="X5" s="66"/>
    </x:row>
    <x:row r="6">
      <x:c r="A6" s="66" t="str">
        <x:v>0–1</x:v>
      </x:c>
      <x:c r="B6" s="72" t="n">
        <x:f>IF(COUNT(V21)=0,"",V21/SUM($V$21:$V$26))</x:f>
        <x:v>0.48675916957933324</x:v>
      </x:c>
      <x:c r="C6" s="72" t="n">
        <x:f>IF(COUNT(B6)=0,"",B6/MAX($B$6:$B$11))</x:f>
        <x:v>1</x:v>
      </x:c>
      <x:c r="D6" s="72" t="n">
        <x:f>IF(COUNT(V31)=0,"",V31/SUM($V$31:$V$36))</x:f>
        <x:v>0.059307166229737876</x:v>
      </x:c>
      <x:c r="E6" s="72" t="n">
        <x:f>IF(COUNT(D6)=0,"",D6/MAX($D$6:$D$11))</x:f>
        <x:v>0.16032107656211758</x:v>
      </x:c>
      <x:c r="F6" s="72" t="n">
        <x:f>IF(COUNT(V41)=0,"",V41/SUM($V$41:$V$46))</x:f>
        <x:v>0.032389567624316586</x:v>
      </x:c>
      <x:c r="G6" s="72" t="n">
        <x:f>IF(COUNT(F6)=0,"",F6/MAX($F$6:$F$11))</x:f>
        <x:v>0.07337614612885912</x:v>
      </x:c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</x:row>
    <x:row r="7">
      <x:c r="A7" s="66" t="str">
        <x:v>1–2</x:v>
      </x:c>
      <x:c r="B7" s="72" t="n">
        <x:f>IF(COUNT(V22)=0,"",V22/SUM($V$21:$V$26))</x:f>
        <x:v>0.23276879088673194</x:v>
      </x:c>
      <x:c r="C7" s="72" t="n">
        <x:f>IF(COUNT(B7)=0,"",B7/MAX($B$6:$B$11))</x:f>
        <x:v>0.47820114223609855</x:v>
      </x:c>
      <x:c r="D7" s="72" t="n">
        <x:f>IF(COUNT(V32)=0,"",V32/SUM($V$31:$V$36))</x:f>
        <x:v>0.08996883496466211</x:v>
      </x:c>
      <x:c r="E7" s="72" t="n">
        <x:f>IF(COUNT(D7)=0,"",D7/MAX($D$6:$D$11))</x:f>
        <x:v>0.2432067049486115</x:v>
      </x:c>
      <x:c r="F7" s="72" t="n">
        <x:f>IF(COUNT(V42)=0,"",V42/SUM($V$41:$V$46))</x:f>
        <x:v>0.04699690081906617</x:v>
      </x:c>
      <x:c r="G7" s="72" t="n">
        <x:f>IF(COUNT(F7)=0,"",F7/MAX($F$6:$F$11))</x:f>
        <x:v>0.1064679683934515</x:v>
      </x:c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</x:row>
    <x:row r="8">
      <x:c r="A8" s="66" t="str">
        <x:v>2–3</x:v>
      </x:c>
      <x:c r="B8" s="72" t="n">
        <x:f>IF(COUNT(V23)=0,"",V23/SUM($V$21:$V$26))</x:f>
        <x:v>0.13484990943235933</x:v>
      </x:c>
      <x:c r="C8" s="72" t="n">
        <x:f>IF(COUNT(B8)=0,"",B8/MAX($B$6:$B$11))</x:f>
        <x:v>0.2770361974873514</x:v>
      </x:c>
      <x:c r="D8" s="72" t="n">
        <x:f>IF(COUNT(V33)=0,"",V33/SUM($V$31:$V$36))</x:f>
        <x:v>0.2803234014216777</x:v>
      </x:c>
      <x:c r="E8" s="72" t="n">
        <x:f>IF(COUNT(D8)=0,"",D8/MAX($D$6:$D$11))</x:f>
        <x:v>0.7577794111319934</x:v>
      </x:c>
      <x:c r="F8" s="72" t="n">
        <x:f>IF(COUNT(V43)=0,"",V43/SUM($V$41:$V$46))</x:f>
        <x:v>0.08265178997466642</x:v>
      </x:c>
      <x:c r="G8" s="72" t="n">
        <x:f>IF(COUNT(F8)=0,"",F8/MAX($F$6:$F$11))</x:f>
        <x:v>0.18724145654972635</x:v>
      </x:c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</x:row>
    <x:row r="9">
      <x:c r="A9" s="66" t="str">
        <x:v>3–4</x:v>
      </x:c>
      <x:c r="B9" s="72" t="n">
        <x:f>IF(COUNT(V24)=0,"",V24/SUM($V$21:$V$26))</x:f>
        <x:v>0.07530099089336914</x:v>
      </x:c>
      <x:c r="C9" s="72" t="n">
        <x:f>IF(COUNT(B9)=0,"",B9/MAX($B$6:$B$11))</x:f>
        <x:v>0.1546986592126158</x:v>
      </x:c>
      <x:c r="D9" s="72" t="n">
        <x:f>IF(COUNT(V34)=0,"",V34/SUM($V$31:$V$36))</x:f>
        <x:v>0.36992744498418384</x:v>
      </x:c>
      <x:c r="E9" s="72" t="n">
        <x:f>IF(COUNT(D9)=0,"",D9/MAX($D$6:$D$11))</x:f>
        <x:v>1</x:v>
      </x:c>
      <x:c r="F9" s="72" t="n">
        <x:f>IF(COUNT(V44)=0,"",V44/SUM($V$41:$V$46))</x:f>
        <x:v>0.14714626809954381</x:v>
      </x:c>
      <x:c r="G9" s="72" t="n">
        <x:f>IF(COUNT(F9)=0,"",F9/MAX($F$6:$F$11))</x:f>
        <x:v>0.33334887935591034</x:v>
      </x:c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</x:row>
    <x:row r="10">
      <x:c r="A10" s="66" t="str">
        <x:v>4–5</x:v>
      </x:c>
      <x:c r="B10" s="72" t="n">
        <x:f>IF(COUNT(V25)=0,"",V25/SUM($V$21:$V$26))</x:f>
        <x:v>0.042328081578544514</x:v>
      </x:c>
      <x:c r="C10" s="72" t="n">
        <x:f>IF(COUNT(B10)=0,"",B10/MAX($B$6:$B$11))</x:f>
        <x:v>0.08695898140989367</x:v>
      </x:c>
      <x:c r="D10" s="72" t="n">
        <x:f>IF(COUNT(V35)=0,"",V35/SUM($V$31:$V$36))</x:f>
        <x:v>0.15044502032414572</x:v>
      </x:c>
      <x:c r="E10" s="72" t="n">
        <x:f>IF(COUNT(D10)=0,"",D10/MAX($D$6:$D$11))</x:f>
        <x:v>0.40668791235691626</x:v>
      </x:c>
      <x:c r="F10" s="72" t="n">
        <x:f>IF(COUNT(V45)=0,"",V45/SUM($V$41:$V$46))</x:f>
        <x:v>0.24939725607649663</x:v>
      </x:c>
      <x:c r="G10" s="72" t="n">
        <x:f>IF(COUNT(F10)=0,"",F10/MAX($F$6:$F$11))</x:f>
        <x:v>0.564990855026631</x:v>
      </x:c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</x:row>
    <x:row r="11">
      <x:c r="A11" s="66" t="str">
        <x:v>5–6</x:v>
      </x:c>
      <x:c r="B11" s="72" t="n">
        <x:f>IF(COUNT(V26)=0,"",V26/SUM($V$21:$V$26))</x:f>
        <x:v>0.027993057629661946</x:v>
      </x:c>
      <x:c r="C11" s="72" t="n">
        <x:f>IF(COUNT(B11)=0,"",B11/MAX($B$6:$B$11))</x:f>
        <x:v>0.05750905042806711</x:v>
      </x:c>
      <x:c r="D11" s="72" t="n">
        <x:f>IF(COUNT(V36)=0,"",V36/SUM($V$31:$V$36))</x:f>
        <x:v>0.05002813207559273</x:v>
      </x:c>
      <x:c r="E11" s="72" t="n">
        <x:f>IF(COUNT(D11)=0,"",D11/MAX($D$6:$D$11))</x:f>
        <x:v>0.13523768715709014</x:v>
      </x:c>
      <x:c r="F11" s="72" t="n">
        <x:f>IF(COUNT(V46)=0,"",V46/SUM($V$41:$V$46))</x:f>
        <x:v>0.44141821740591036</x:v>
      </x:c>
      <x:c r="G11" s="72" t="n">
        <x:f>IF(COUNT(F11)=0,"",F11/MAX($F$6:$F$11))</x:f>
        <x:v>1</x:v>
      </x:c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</x:row>
    <x:row r="12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</x:row>
    <x:row r="13">
      <x:c r="A13" s="69" t="s">
        <x:v>2</x:v>
      </x:c>
      <x:c r="B13" s="69"/>
      <x:c r="C13" s="69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</x:row>
    <x:row r="14">
      <x:c r="A14" s="71" t="s">
        <x:v>3</x:v>
      </x:c>
      <x:c r="B14" s="71" t="s">
        <x:v>4</x:v>
      </x:c>
      <x:c r="C14" s="71" t="s">
        <x:v>5</x:v>
      </x:c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</x:row>
    <x:row r="15">
      <x:c r="A15" s="66" t="str">
        <x:v>Близко</x:v>
      </x:c>
      <x:c r="B15" s="73" t="n">
        <x:f>IF(COUNT(X21)=0,"",X21)</x:f>
        <x:v>6.202887315175002</x:v>
      </x:c>
      <x:c r="C15" s="73" t="n">
        <x:f>IF(COUNT(X22)=0,"",X22)</x:f>
        <x:v>0.20288731517500214</x:v>
      </x:c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</x:row>
    <x:row r="16">
      <x:c r="A16" s="66" t="str">
        <x:v>Средне</x:v>
      </x:c>
      <x:c r="B16" s="73" t="n">
        <x:f>IF(COUNT(X31)=0,"",X31)</x:f>
        <x:v>6.127550331823165</x:v>
      </x:c>
      <x:c r="C16" s="73" t="n">
        <x:f>IF(COUNT(X32)=0,"",X32)</x:f>
        <x:v>0.12755033182316478</x:v>
      </x:c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</x:row>
    <x:row r="17">
      <x:c r="A17" s="66" t="str">
        <x:v>Далеко</x:v>
      </x:c>
      <x:c r="B17" s="73" t="n">
        <x:f>IF(COUNT(X41)=0,"",X41)</x:f>
        <x:v>6.098955029082606</x:v>
      </x:c>
      <x:c r="C17" s="73" t="n">
        <x:f>IF(COUNT(X42)=0,"",X42)</x:f>
        <x:v>0.09895502908260578</x:v>
      </x:c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</x:row>
    <x:row r="18">
      <x:c r="A18" s="75" t="s">
        <x:v>6</x:v>
      </x:c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</x:row>
    <x:row r="19">
      <x:c r="A19" s="69" t="str">
        <x:v>Итерации: близко</x:v>
      </x:c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</x:row>
    <x:row r="20">
      <x:c r="A20" s="71" t="s">
        <x:v>7</x:v>
      </x:c>
      <x:c r="B20" s="71" t="s">
        <x:v>8</x:v>
      </x:c>
      <x:c r="C20" s="71" t="s">
        <x:v>9</x:v>
      </x:c>
      <x:c r="D20" s="71" t="s">
        <x:v>10</x:v>
      </x:c>
      <x:c r="E20" s="71" t="s">
        <x:v>11</x:v>
      </x:c>
      <x:c r="F20" s="71" t="s">
        <x:v>12</x:v>
      </x:c>
      <x:c r="G20" s="71" t="s">
        <x:v>13</x:v>
      </x:c>
      <x:c r="H20" s="71" t="s">
        <x:v>14</x:v>
      </x:c>
      <x:c r="I20" s="71" t="s">
        <x:v>15</x:v>
      </x:c>
      <x:c r="J20" s="71" t="s">
        <x:v>16</x:v>
      </x:c>
      <x:c r="K20" s="71" t="s">
        <x:v>17</x:v>
      </x:c>
      <x:c r="L20" s="71" t="s">
        <x:v>18</x:v>
      </x:c>
      <x:c r="M20" s="71" t="s">
        <x:v>19</x:v>
      </x:c>
      <x:c r="N20" s="71" t="s">
        <x:v>20</x:v>
      </x:c>
      <x:c r="O20" s="71" t="s">
        <x:v>21</x:v>
      </x:c>
      <x:c r="P20" s="71" t="s">
        <x:v>22</x:v>
      </x:c>
      <x:c r="Q20" s="71" t="s">
        <x:v>23</x:v>
      </x:c>
      <x:c r="R20" s="71" t="s">
        <x:v>24</x:v>
      </x:c>
      <x:c r="S20" s="71" t="s">
        <x:v>25</x:v>
      </x:c>
      <x:c r="T20" s="71" t="s">
        <x:v>26</x:v>
      </x:c>
      <x:c r="U20" s="71" t="s">
        <x:v>27</x:v>
      </x:c>
      <x:c r="V20" s="71" t="s">
        <x:v>28</x:v>
      </x:c>
      <x:c r="W20" s="71" t="s">
        <x:v>29</x:v>
      </x:c>
      <x:c r="X20" s="71" t="s">
        <x:v>30</x:v>
      </x:c>
    </x:row>
    <x:row r="21">
      <x:c r="A21" s="66" t="str">
        <x:v>0–1</x:v>
      </x:c>
      <x:c r="B21" s="66">
        <x:v>1</x:v>
      </x:c>
      <x:c r="C21" s="74" t="n">
        <x:f>IF(COUNT('Метод 2'!$B$28:$G$33)&lt;36,"",SUM('Метод 2'!B28*B21,'Метод 2'!C28*B22,'Метод 2'!D28*B23,'Метод 2'!E28*B24,'Метод 2'!F28*B25,'Метод 2'!G28*B26))</x:f>
        <x:v>34</x:v>
      </x:c>
      <x:c r="D21" s="74" t="n">
        <x:f>IF(COUNT('Метод 2'!$B$28:$G$33)&lt;36,"",SUM('Метод 2'!B28*C21,'Метод 2'!C28*C22,'Метод 2'!D28*C23,'Метод 2'!E28*C24,'Метод 2'!F28*C25,'Метод 2'!G28*C26))</x:f>
        <x:v>277.375</x:v>
      </x:c>
      <x:c r="E21" s="74" t="n">
        <x:f>IF(COUNT('Метод 2'!$B$28:$G$33)&lt;36,"",SUM('Метод 2'!B28*D21,'Метод 2'!C28*D22,'Метод 2'!D28*D23,'Метод 2'!E28*D24,'Метод 2'!F28*D25,'Метод 2'!G28*D26))</x:f>
        <x:v>1688.708531746032</x:v>
      </x:c>
      <x:c r="F21" s="74" t="n">
        <x:f>IF(COUNT('Метод 2'!$B$28:$G$33)&lt;36,"",SUM('Метод 2'!B28*E21,'Метод 2'!C28*E22,'Метод 2'!D28*E23,'Метод 2'!E28*E24,'Метод 2'!F28*E25,'Метод 2'!G28*E26))</x:f>
        <x:v>10392.632936507938</x:v>
      </x:c>
      <x:c r="G21" s="74" t="n">
        <x:f>IF(COUNT('Метод 2'!$B$28:$G$33)&lt;36,"",SUM('Метод 2'!B28*F21,'Метод 2'!C28*F22,'Метод 2'!D28*F23,'Метод 2'!E28*F24,'Метод 2'!F28*F25,'Метод 2'!G28*F26))</x:f>
        <x:v>64507.475446428565</x:v>
      </x:c>
      <x:c r="H21" s="74" t="n">
        <x:f>IF(COUNT('Метод 2'!$B$28:$G$33)&lt;36,"",SUM('Метод 2'!B28*G21,'Метод 2'!C28*G22,'Метод 2'!D28*G23,'Метод 2'!E28*G24,'Метод 2'!F28*G25,'Метод 2'!G28*G26))</x:f>
        <x:v>400233.11218175234</x:v>
      </x:c>
      <x:c r="I21" s="74" t="n">
        <x:f>IF(COUNT('Метод 2'!$B$28:$G$33)&lt;36,"",SUM('Метод 2'!B28*H21,'Метод 2'!C28*H22,'Метод 2'!D28*H23,'Метод 2'!E28*H24,'Метод 2'!F28*H25,'Метод 2'!G28*H26))</x:f>
        <x:v>2482543.0119713326</x:v>
      </x:c>
      <x:c r="J21" s="74" t="n">
        <x:f>IF(COUNT('Метод 2'!$B$28:$G$33)&lt;36,"",SUM('Метод 2'!B28*I21,'Метод 2'!C28*I22,'Метод 2'!D28*I23,'Метод 2'!E28*I24,'Метод 2'!F28*I25,'Метод 2'!G28*I26))</x:f>
        <x:v>15398811.90264572</x:v>
      </x:c>
      <x:c r="K21" s="74" t="n">
        <x:f>IF(COUNT('Метод 2'!$B$28:$G$33)&lt;36,"",SUM('Метод 2'!B28*J21,'Метод 2'!C28*J22,'Метод 2'!D28*J23,'Метод 2'!E28*J24,'Метод 2'!F28*J25,'Метод 2'!G28*J26))</x:f>
        <x:v>95517172.17029871</x:v>
      </x:c>
      <x:c r="L21" s="74" t="n">
        <x:f>IF(COUNT('Метод 2'!$B$28:$G$33)&lt;36,"",SUM('Метод 2'!B28*K21,'Метод 2'!C28*K22,'Метод 2'!D28*K23,'Метод 2'!E28*K24,'Метод 2'!F28*K25,'Метод 2'!G28*K26))</x:f>
        <x:v>592482405.043122</x:v>
      </x:c>
      <x:c r="M21" s="74" t="n">
        <x:f>IF(COUNT('Метод 2'!$B$28:$G$33)&lt;36,"",SUM('Метод 2'!B28*L21,'Метод 2'!C28*L22,'Метод 2'!D28*L23,'Метод 2'!E28*L24,'Метод 2'!F28*L25,'Метод 2'!G28*L26))</x:f>
        <x:v>3675101492.4620843</x:v>
      </x:c>
      <x:c r="N21" s="74" t="n">
        <x:f>IF(COUNT('Метод 2'!$B$28:$G$33)&lt;36,"",SUM('Метод 2'!B28*M21,'Метод 2'!C28*M22,'Метод 2'!D28*M23,'Метод 2'!E28*M24,'Метод 2'!F28*M25,'Метод 2'!G28*M26))</x:f>
        <x:v>22796240247.927284</x:v>
      </x:c>
      <x:c r="O21" s="74" t="n">
        <x:f>IF(COUNT('Метод 2'!$B$28:$G$33)&lt;36,"",SUM('Метод 2'!B28*N21,'Метод 2'!C28*N22,'Метод 2'!D28*N23,'Метод 2'!E28*N24,'Метод 2'!F28*N25,'Метод 2'!G28*N26))</x:f>
        <x:v>141402509602.3667</x:v>
      </x:c>
      <x:c r="P21" s="74" t="n">
        <x:f>IF(COUNT('Метод 2'!$B$28:$G$33)&lt;36,"",SUM('Метод 2'!B28*O21,'Метод 2'!C28*O22,'Метод 2'!D28*O23,'Метод 2'!E28*O24,'Метод 2'!F28*O25,'Метод 2'!G28*O26))</x:f>
        <x:v>877103833366.8363</x:v>
      </x:c>
      <x:c r="Q21" s="74" t="n">
        <x:f>IF(COUNT('Метод 2'!$B$28:$G$33)&lt;36,"",SUM('Метод 2'!B28*P21,'Метод 2'!C28*P22,'Метод 2'!D28*P23,'Метод 2'!E28*P24,'Метод 2'!F28*P25,'Метод 2'!G28*P26))</x:f>
        <x:v>5440576241905.551</x:v>
      </x:c>
      <x:c r="R21" s="74" t="n">
        <x:f>IF(COUNT('Метод 2'!$B$28:$G$33)&lt;36,"",SUM('Метод 2'!B28*Q21,'Метод 2'!C28*Q22,'Метод 2'!D28*Q23,'Метод 2'!E28*Q24,'Метод 2'!F28*Q25,'Метод 2'!G28*Q26))</x:f>
        <x:v>33747281357891.555</x:v>
      </x:c>
      <x:c r="S21" s="74" t="n">
        <x:f>IF(COUNT('Метод 2'!$B$28:$G$33)&lt;36,"",SUM('Метод 2'!B28*R21,'Метод 2'!C28*R22,'Метод 2'!D28*R23,'Метод 2'!E28*R24,'Метод 2'!F28*R25,'Метод 2'!G28*R26))</x:f>
        <x:v>209330583456738.75</x:v>
      </x:c>
      <x:c r="T21" s="74" t="n">
        <x:f>IF(COUNT('Метод 2'!$B$28:$G$33)&lt;36,"",SUM('Метод 2'!B28*S21,'Метод 2'!C28*S22,'Метод 2'!D28*S23,'Метод 2'!E28*S24,'Метод 2'!F28*S25,'Метод 2'!G28*S26))</x:f>
        <x:v>1298454020802309.5</x:v>
      </x:c>
      <x:c r="U21" s="74" t="n">
        <x:f>IF(COUNT('Метод 2'!$B$28:$G$33)&lt;36,"",SUM('Метод 2'!B28*T21,'Метод 2'!C28*T22,'Метод 2'!D28*T23,'Метод 2'!E28*T24,'Метод 2'!F28*T25,'Метод 2'!G28*T26))</x:f>
        <x:v>8054163974972324</x:v>
      </x:c>
      <x:c r="V21" s="74" t="n">
        <x:f>IF(COUNT('Метод 2'!$B$28:$G$33)&lt;36,"",SUM('Метод 2'!B28*U21,'Метод 2'!C28*U22,'Метод 2'!D28*U23,'Метод 2'!E28*U24,'Метод 2'!F28*U25,'Метод 2'!G28*U26))</x:f>
        <x:v>49959071554694920</x:v>
      </x:c>
      <x:c r="W21" s="73" t="n">
        <x:f>IF(COUNT(V21)=0,"",SUM('Метод 2'!B28*V21,'Метод 2'!C28*V22,'Метод 2'!D28*V23,'Метод 2'!E28*V24,'Метод 2'!F28*V25,'Метод 2'!G28*V26)/V21)</x:f>
        <x:v>6.20288731517501</x:v>
      </x:c>
      <x:c r="X21" s="73" t="n">
        <x:f>IF(COUNT(W21:W26)&lt;6,"",AVERAGE(W21:W26))</x:f>
        <x:v>6.202887315175002</x:v>
      </x:c>
    </x:row>
    <x:row r="22">
      <x:c r="A22" s="66" t="str">
        <x:v>1–2</x:v>
      </x:c>
      <x:c r="B22" s="66">
        <x:v>1</x:v>
      </x:c>
      <x:c r="C22" s="74" t="n">
        <x:f>IF(COUNT('Метод 2'!$B$28:$G$33)&lt;36,"",SUM('Метод 2'!B29*B21,'Метод 2'!C29*B22,'Метод 2'!D29*B23,'Метод 2'!E29*B24,'Метод 2'!F29*B25,'Метод 2'!G29*B26))</x:f>
        <x:v>21.333333333333332</x:v>
      </x:c>
      <x:c r="D22" s="74" t="n">
        <x:f>IF(COUNT('Метод 2'!$B$28:$G$33)&lt;36,"",SUM('Метод 2'!B29*C21,'Метод 2'!C29*C22,'Метод 2'!D29*C23,'Метод 2'!E29*C24,'Метод 2'!F29*C25,'Метод 2'!G29*C26))</x:f>
        <x:v>133.02698412698413</x:v>
      </x:c>
      <x:c r="E22" s="74" t="n">
        <x:f>IF(COUNT('Метод 2'!$B$28:$G$33)&lt;36,"",SUM('Метод 2'!B29*D21,'Метод 2'!C29*D22,'Метод 2'!D29*D23,'Метод 2'!E29*D24,'Метод 2'!F29*D25,'Метод 2'!G29*D26))</x:f>
        <x:v>801.0154761904762</x:v>
      </x:c>
      <x:c r="F22" s="74" t="n">
        <x:f>IF(COUNT('Метод 2'!$B$28:$G$33)&lt;36,"",SUM('Метод 2'!B29*E21,'Метод 2'!C29*E22,'Метод 2'!D29*E23,'Метод 2'!E29*E24,'Метод 2'!F29*E25,'Метод 2'!G29*E26))</x:f>
        <x:v>4969.584325396826</x:v>
      </x:c>
      <x:c r="G22" s="74" t="n">
        <x:f>IF(COUNT('Метод 2'!$B$28:$G$33)&lt;36,"",SUM('Метод 2'!B29*F21,'Метод 2'!C29*F22,'Метод 2'!D29*F23,'Метод 2'!E29*F24,'Метод 2'!F29*F25,'Метод 2'!G29*F26))</x:f>
        <x:v>30855.674377047115</x:v>
      </x:c>
      <x:c r="H22" s="74" t="n">
        <x:f>IF(COUNT('Метод 2'!$B$28:$G$33)&lt;36,"",SUM('Метод 2'!B29*G21,'Метод 2'!C29*G22,'Метод 2'!D29*G23,'Метод 2'!E29*G24,'Метод 2'!F29*G25,'Метод 2'!G29*G26))</x:f>
        <x:v>191391.82235937897</x:v>
      </x:c>
      <x:c r="I22" s="74" t="n">
        <x:f>IF(COUNT('Метод 2'!$B$28:$G$33)&lt;36,"",SUM('Метод 2'!B29*H21,'Метод 2'!C29*H22,'Метод 2'!D29*H23,'Метод 2'!E29*H24,'Метод 2'!F29*H25,'Метод 2'!G29*H26))</x:f>
        <x:v>1187144.796762251</x:v>
      </x:c>
      <x:c r="J22" s="74" t="n">
        <x:f>IF(COUNT('Метод 2'!$B$28:$G$33)&lt;36,"",SUM('Метод 2'!B29*I21,'Метод 2'!C29*I22,'Метод 2'!D29*I23,'Метод 2'!E29*I24,'Метод 2'!F29*I25,'Метод 2'!G29*I26))</x:f>
        <x:v>7363729.998790425</x:v>
      </x:c>
      <x:c r="K22" s="74" t="n">
        <x:f>IF(COUNT('Метод 2'!$B$28:$G$33)&lt;36,"",SUM('Метод 2'!B29*J21,'Метод 2'!C29*J22,'Метод 2'!D29*J23,'Метод 2'!E29*J24,'Метод 2'!F29*J25,'Метод 2'!G29*J26))</x:f>
        <x:v>45676433.388804585</x:v>
      </x:c>
      <x:c r="L22" s="74" t="n">
        <x:f>IF(COUNT('Метод 2'!$B$28:$G$33)&lt;36,"",SUM('Метод 2'!B29*K21,'Метод 2'!C29*K22,'Метод 2'!D29*K23,'Метод 2'!E29*K24,'Метод 2'!F29*K25,'Метод 2'!G29*K26))</x:f>
        <x:v>283325761.6278743</x:v>
      </x:c>
      <x:c r="M22" s="74" t="n">
        <x:f>IF(COUNT('Метод 2'!$B$28:$G$33)&lt;36,"",SUM('Метод 2'!B29*L21,'Метод 2'!C29*L22,'Метод 2'!D29*L23,'Метод 2'!E29*L24,'Метод 2'!F29*L25,'Метод 2'!G29*L26))</x:f>
        <x:v>1757437715.9582796</x:v>
      </x:c>
      <x:c r="N22" s="74" t="n">
        <x:f>IF(COUNT('Метод 2'!$B$28:$G$33)&lt;36,"",SUM('Метод 2'!B29*M21,'Метод 2'!C29*M22,'Метод 2'!D29*M23,'Метод 2'!E29*M24,'Метод 2'!F29*M25,'Метод 2'!G29*M26))</x:f>
        <x:v>10901188127.414013</x:v>
      </x:c>
      <x:c r="O22" s="74" t="n">
        <x:f>IF(COUNT('Метод 2'!$B$28:$G$33)&lt;36,"",SUM('Метод 2'!B29*N21,'Метод 2'!C29*N22,'Метод 2'!D29*N23,'Метод 2'!E29*N24,'Метод 2'!F29*N25,'Метод 2'!G29*N26))</x:f>
        <x:v>67618841626.18781</x:v>
      </x:c>
      <x:c r="P22" s="74" t="n">
        <x:f>IF(COUNT('Метод 2'!$B$28:$G$33)&lt;36,"",SUM('Метод 2'!B29*O21,'Метод 2'!C29*O22,'Метод 2'!D29*O23,'Метод 2'!E29*O24,'Метод 2'!F29*O25,'Метод 2'!G29*O26))</x:f>
        <x:v>419432054972.18</x:v>
      </x:c>
      <x:c r="Q22" s="74" t="n">
        <x:f>IF(COUNT('Метод 2'!$B$28:$G$33)&lt;36,"",SUM('Метод 2'!B29*P21,'Метод 2'!C29*P22,'Метод 2'!D29*P23,'Метод 2'!E29*P24,'Метод 2'!F29*P25,'Метод 2'!G29*P26))</x:f>
        <x:v>2601689773277.963</x:v>
      </x:c>
      <x:c r="R22" s="74" t="n">
        <x:f>IF(COUNT('Метод 2'!$B$28:$G$33)&lt;36,"",SUM('Метод 2'!B29*Q21,'Метод 2'!C29*Q22,'Метод 2'!D29*Q23,'Метод 2'!E29*Q24,'Метод 2'!F29*Q25,'Метод 2'!G29*Q26))</x:f>
        <x:v>16137988492712.088</x:v>
      </x:c>
      <x:c r="S22" s="74" t="n">
        <x:f>IF(COUNT('Метод 2'!$B$28:$G$33)&lt;36,"",SUM('Метод 2'!B29*R21,'Метод 2'!C29*R22,'Метод 2'!D29*R23,'Метод 2'!E29*R24,'Метод 2'!F29*R25,'Метод 2'!G29*R26))</x:f>
        <x:v>100102124113990.84</x:v>
      </x:c>
      <x:c r="T22" s="74" t="n">
        <x:f>IF(COUNT('Метод 2'!$B$28:$G$33)&lt;36,"",SUM('Метод 2'!B29*S21,'Метод 2'!C29*S22,'Метод 2'!D29*S23,'Метод 2'!E29*S24,'Метод 2'!F29*S25,'Метод 2'!G29*S26))</x:f>
        <x:v>620922195888711.2</x:v>
      </x:c>
      <x:c r="U22" s="74" t="n">
        <x:f>IF(COUNT('Метод 2'!$B$28:$G$33)&lt;36,"",SUM('Метод 2'!B29*T21,'Метод 2'!C29*T22,'Метод 2'!D29*T23,'Метод 2'!E29*T24,'Метод 2'!F29*T25,'Метод 2'!G29*T26))</x:f>
        <x:v>3851510412588564</x:v>
      </x:c>
      <x:c r="V22" s="74" t="n">
        <x:f>IF(COUNT('Метод 2'!$B$28:$G$33)&lt;36,"",SUM('Метод 2'!B29*U21,'Метод 2'!C29*U22,'Метод 2'!D29*U23,'Метод 2'!E29*U24,'Метод 2'!F29*U25,'Метод 2'!G29*U26))</x:f>
        <x:v>23890485082510092</x:v>
      </x:c>
      <x:c r="W22" s="73" t="n">
        <x:f>IF(COUNT(V22)=0,"",SUM('Метод 2'!B29*V21,'Метод 2'!C29*V22,'Метод 2'!D29*V23,'Метод 2'!E29*V24,'Метод 2'!F29*V25,'Метод 2'!G29*V26)/V22)</x:f>
        <x:v>6.20288731517501</x:v>
      </x:c>
      <x:c r="X22" s="73" t="n">
        <x:f>IF(COUNT(X21)=0,"",X21-6)</x:f>
        <x:v>0.20288731517500214</x:v>
      </x:c>
    </x:row>
    <x:row r="23">
      <x:c r="A23" s="66" t="str">
        <x:v>2–3</x:v>
      </x:c>
      <x:c r="B23" s="66">
        <x:v>1</x:v>
      </x:c>
      <x:c r="C23" s="74" t="n">
        <x:f>IF(COUNT('Метод 2'!$B$28:$G$33)&lt;36,"",SUM('Метод 2'!B30*B21,'Метод 2'!C30*B22,'Метод 2'!D30*B23,'Метод 2'!E30*B24,'Метод 2'!F30*B25,'Метод 2'!G30*B26))</x:f>
        <x:v>13.7</x:v>
      </x:c>
      <x:c r="D23" s="74" t="n">
        <x:f>IF(COUNT('Метод 2'!$B$28:$G$33)&lt;36,"",SUM('Метод 2'!B30*C21,'Метод 2'!C30*C22,'Метод 2'!D30*C23,'Метод 2'!E30*C24,'Метод 2'!F30*C25,'Метод 2'!G30*C26))</x:f>
        <x:v>75.98015873015873</x:v>
      </x:c>
      <x:c r="E23" s="74" t="n">
        <x:f>IF(COUNT('Метод 2'!$B$28:$G$33)&lt;36,"",SUM('Метод 2'!B30*D21,'Метод 2'!C30*D22,'Метод 2'!D30*D23,'Метод 2'!E30*D24,'Метод 2'!F30*D25,'Метод 2'!G30*D26))</x:f>
        <x:v>462.52698412698413</x:v>
      </x:c>
      <x:c r="F23" s="74" t="n">
        <x:f>IF(COUNT('Метод 2'!$B$28:$G$33)&lt;36,"",SUM('Метод 2'!B30*E21,'Метод 2'!C30*E22,'Метод 2'!D30*E23,'Метод 2'!E30*E24,'Метод 2'!F30*E25,'Метод 2'!G30*E26))</x:f>
        <x:v>2880.4372751322753</x:v>
      </x:c>
      <x:c r="G23" s="74" t="n">
        <x:f>IF(COUNT('Метод 2'!$B$28:$G$33)&lt;36,"",SUM('Метод 2'!B30*F21,'Метод 2'!C30*F22,'Метод 2'!D30*F23,'Метод 2'!E30*F24,'Метод 2'!F30*F25,'Метод 2'!G30*F26))</x:f>
        <x:v>17877.453293020913</x:v>
      </x:c>
      <x:c r="H23" s="74" t="n">
        <x:f>IF(COUNT('Метод 2'!$B$28:$G$33)&lt;36,"",SUM('Метод 2'!B30*G21,'Метод 2'!C30*G22,'Метод 2'!D30*G23,'Метод 2'!E30*G24,'Метод 2'!F30*G25,'Метод 2'!G30*G26))</x:f>
        <x:v>110877.16630999622</x:v>
      </x:c>
      <x:c r="I23" s="74" t="n">
        <x:f>IF(COUNT('Метод 2'!$B$28:$G$33)&lt;36,"",SUM('Метод 2'!B30*H21,'Метод 2'!C30*H22,'Метод 2'!D30*H23,'Метод 2'!E30*H24,'Метод 2'!F30*H25,'Метод 2'!G30*H26))</x:f>
        <x:v>687746.2075690455</x:v>
      </x:c>
      <x:c r="J23" s="74" t="n">
        <x:f>IF(COUNT('Метод 2'!$B$28:$G$33)&lt;36,"",SUM('Метод 2'!B30*I21,'Метод 2'!C30*I22,'Метод 2'!D30*I23,'Метод 2'!E30*I24,'Метод 2'!F30*I25,'Метод 2'!G30*I26))</x:f>
        <x:v>4266030.988180133</x:v>
      </x:c>
      <x:c r="K23" s="74" t="n">
        <x:f>IF(COUNT('Метод 2'!$B$28:$G$33)&lt;36,"",SUM('Метод 2'!B30*J21,'Метод 2'!C30*J22,'Метод 2'!D30*J23,'Метод 2'!E30*J24,'Метод 2'!F30*J25,'Метод 2'!G30*J26))</x:f>
        <x:v>26461724.100608233</x:v>
      </x:c>
      <x:c r="L23" s="74" t="n">
        <x:f>IF(COUNT('Метод 2'!$B$28:$G$33)&lt;36,"",SUM('Метод 2'!B30*K21,'Метод 2'!C30*K22,'Метод 2'!D30*K23,'Метод 2'!E30*K24,'Метод 2'!F30*K25,'Метод 2'!G30*K26))</x:f>
        <x:v>164139068.80574527</x:v>
      </x:c>
      <x:c r="M23" s="74" t="n">
        <x:f>IF(COUNT('Метод 2'!$B$28:$G$33)&lt;36,"",SUM('Метод 2'!B30*L21,'Метод 2'!C30*L22,'Метод 2'!D30*L23,'Метод 2'!E30*L24,'Метод 2'!F30*L25,'Метод 2'!G30*L26))</x:f>
        <x:v>1018136130.655206</x:v>
      </x:c>
      <x:c r="N23" s="74" t="n">
        <x:f>IF(COUNT('Метод 2'!$B$28:$G$33)&lt;36,"",SUM('Метод 2'!B30*M21,'Метод 2'!C30*M22,'Метод 2'!D30*M23,'Метод 2'!E30*M24,'Метод 2'!F30*M25,'Метод 2'!G30*M26))</x:f>
        <x:v>6315383720.489059</x:v>
      </x:c>
      <x:c r="O23" s="74" t="n">
        <x:f>IF(COUNT('Метод 2'!$B$28:$G$33)&lt;36,"",SUM('Метод 2'!B30*N21,'Метод 2'!C30*N22,'Метод 2'!D30*N23,'Метод 2'!E30*N24,'Метод 2'!F30*N25,'Метод 2'!G30*N26))</x:f>
        <x:v>39173613590.36837</x:v>
      </x:c>
      <x:c r="P23" s="74" t="n">
        <x:f>IF(COUNT('Метод 2'!$B$28:$G$33)&lt;36,"",SUM('Метод 2'!B30*O21,'Метод 2'!C30*O22,'Метод 2'!D30*O23,'Метод 2'!E30*O24,'Метод 2'!F30*O25,'Метод 2'!G30*O26))</x:f>
        <x:v>242989510790.43796</x:v>
      </x:c>
      <x:c r="Q23" s="74" t="n">
        <x:f>IF(COUNT('Метод 2'!$B$28:$G$33)&lt;36,"",SUM('Метод 2'!B30*P21,'Метод 2'!C30*P22,'Метод 2'!D30*P23,'Метод 2'!E30*P24,'Метод 2'!F30*P25,'Метод 2'!G30*P26))</x:f>
        <x:v>1507236554179.2168</x:v>
      </x:c>
      <x:c r="R23" s="74" t="n">
        <x:f>IF(COUNT('Метод 2'!$B$28:$G$33)&lt;36,"",SUM('Метод 2'!B30*Q21,'Метод 2'!C30*Q22,'Метод 2'!D30*Q23,'Метод 2'!E30*Q24,'Метод 2'!F30*Q25,'Метод 2'!G30*Q26))</x:f>
        <x:v>9349218502935.633</x:v>
      </x:c>
      <x:c r="S23" s="74" t="n">
        <x:f>IF(COUNT('Метод 2'!$B$28:$G$33)&lt;36,"",SUM('Метод 2'!B30*R21,'Метод 2'!C30*R22,'Метод 2'!D30*R23,'Метод 2'!E30*R24,'Метод 2'!F30*R25,'Метод 2'!G30*R26))</x:f>
        <x:v>57992148858685.89</x:v>
      </x:c>
      <x:c r="T23" s="74" t="n">
        <x:f>IF(COUNT('Метод 2'!$B$28:$G$33)&lt;36,"",SUM('Метод 2'!B30*S21,'Метод 2'!C30*S22,'Метод 2'!D30*S23,'Метод 2'!E30*S24,'Метод 2'!F30*S25,'Метод 2'!G30*S26))</x:f>
        <x:v>359718764535220.9</x:v>
      </x:c>
      <x:c r="U23" s="74" t="n">
        <x:f>IF(COUNT('Метод 2'!$B$28:$G$33)&lt;36,"",SUM('Метод 2'!B30*T21,'Метод 2'!C30*T22,'Метод 2'!D30*T23,'Метод 2'!E30*T24,'Метод 2'!F30*T25,'Метод 2'!G30*T26))</x:f>
        <x:v>2231294961565913.5</x:v>
      </x:c>
      <x:c r="V23" s="74" t="n">
        <x:f>IF(COUNT('Метод 2'!$B$28:$G$33)&lt;36,"",SUM('Метод 2'!B30*U21,'Метод 2'!C30*U22,'Метод 2'!D30*U23,'Метод 2'!E30*U24,'Метод 2'!F30*U25,'Метод 2'!G30*U26))</x:f>
        <x:v>13840471213511182</x:v>
      </x:c>
      <x:c r="W23" s="73" t="n">
        <x:f>IF(COUNT(V23)=0,"",SUM('Метод 2'!B30*V21,'Метод 2'!C30*V22,'Метод 2'!D30*V23,'Метод 2'!E30*V24,'Метод 2'!F30*V25,'Метод 2'!G30*V26)/V23)</x:f>
        <x:v>6.202887315175006</x:v>
      </x:c>
      <x:c r="X23" s="73"/>
    </x:row>
    <x:row r="24">
      <x:c r="A24" s="66" t="str">
        <x:v>3–4</x:v>
      </x:c>
      <x:c r="B24" s="66">
        <x:v>1</x:v>
      </x:c>
      <x:c r="C24" s="74" t="n">
        <x:f>IF(COUNT('Метод 2'!$B$28:$G$33)&lt;36,"",SUM('Метод 2'!B31*B21,'Метод 2'!C31*B22,'Метод 2'!D31*B23,'Метод 2'!E31*B24,'Метод 2'!F31*B25,'Метод 2'!G31*B26))</x:f>
        <x:v>7.892857142857142</x:v>
      </x:c>
      <x:c r="D24" s="74" t="n">
        <x:f>IF(COUNT('Метод 2'!$B$28:$G$33)&lt;36,"",SUM('Метод 2'!B31*C21,'Метод 2'!C31*C22,'Метод 2'!D31*C23,'Метод 2'!E31*C24,'Метод 2'!F31*C25,'Метод 2'!G31*C26))</x:f>
        <x:v>41.599999999999994</x:v>
      </x:c>
      <x:c r="E24" s="74" t="n">
        <x:f>IF(COUNT('Метод 2'!$B$28:$G$33)&lt;36,"",SUM('Метод 2'!B31*D21,'Метод 2'!C31*D22,'Метод 2'!D31*D23,'Метод 2'!E31*D24,'Метод 2'!F31*D25,'Метод 2'!G31*D26))</x:f>
        <x:v>258.0186507936508</x:v>
      </x:c>
      <x:c r="F24" s="74" t="n">
        <x:f>IF(COUNT('Метод 2'!$B$28:$G$33)&lt;36,"",SUM('Метод 2'!B31*E21,'Метод 2'!C31*E22,'Метод 2'!D31*E23,'Метод 2'!E31*E24,'Метод 2'!F31*E25,'Метод 2'!G31*E26))</x:f>
        <x:v>1609.489743953137</x:v>
      </x:c>
      <x:c r="G24" s="74" t="n">
        <x:f>IF(COUNT('Метод 2'!$B$28:$G$33)&lt;36,"",SUM('Метод 2'!B31*F21,'Метод 2'!C31*F22,'Метод 2'!D31*F23,'Метод 2'!E31*F24,'Метод 2'!F31*F25,'Метод 2'!G31*F26))</x:f>
        <x:v>9983.156324168556</x:v>
      </x:c>
      <x:c r="H24" s="74" t="n">
        <x:f>IF(COUNT('Метод 2'!$B$28:$G$33)&lt;36,"",SUM('Метод 2'!B31*G21,'Метод 2'!C31*G22,'Метод 2'!D31*G23,'Метод 2'!E31*G24,'Метод 2'!F31*G25,'Метод 2'!G31*G26))</x:f>
        <x:v>61913.167097663136</x:v>
      </x:c>
      <x:c r="I24" s="74" t="n">
        <x:f>IF(COUNT('Метод 2'!$B$28:$G$33)&lt;36,"",SUM('Метод 2'!B31*H21,'Метод 2'!C31*H22,'Метод 2'!D31*H23,'Метод 2'!E31*H24,'Метод 2'!F31*H25,'Метод 2'!G31*H26))</x:f>
        <x:v>384041.27562266984</x:v>
      </x:c>
      <x:c r="J24" s="74" t="n">
        <x:f>IF(COUNT('Метод 2'!$B$28:$G$33)&lt;36,"",SUM('Метод 2'!B31*I21,'Метод 2'!C31*I22,'Метод 2'!D31*I23,'Метод 2'!E31*I24,'Метод 2'!F31*I25,'Метод 2'!G31*I26))</x:f>
        <x:v>2382178.690413031</x:v>
      </x:c>
      <x:c r="K24" s="74" t="n">
        <x:f>IF(COUNT('Метод 2'!$B$28:$G$33)&lt;36,"",SUM('Метод 2'!B31*J21,'Метод 2'!C31*J22,'Метод 2'!D31*J23,'Метод 2'!E31*J24,'Метод 2'!F31*J25,'Метод 2'!G31*J26))</x:f>
        <x:v>14776384.308242729</x:v>
      </x:c>
      <x:c r="L24" s="74" t="n">
        <x:f>IF(COUNT('Метод 2'!$B$28:$G$33)&lt;36,"",SUM('Метод 2'!B31*K21,'Метод 2'!C31*K22,'Метод 2'!D31*K23,'Метод 2'!E31*K24,'Метод 2'!F31*K25,'Метод 2'!G31*K26))</x:f>
        <x:v>91656229.52138704</x:v>
      </x:c>
      <x:c r="M24" s="74" t="n">
        <x:f>IF(COUNT('Метод 2'!$B$28:$G$33)&lt;36,"",SUM('Метод 2'!B31*L21,'Метод 2'!C31*L22,'Метод 2'!D31*L23,'Метод 2'!E31*L24,'Метод 2'!F31*L25,'Метод 2'!G31*L26))</x:f>
        <x:v>568533266.2580745</x:v>
      </x:c>
      <x:c r="N24" s="74" t="n">
        <x:f>IF(COUNT('Метод 2'!$B$28:$G$33)&lt;36,"",SUM('Метод 2'!B31*M21,'Метод 2'!C31*M22,'Метод 2'!D31*M23,'Метод 2'!E31*M24,'Метод 2'!F31*M25,'Метод 2'!G31*M26))</x:f>
        <x:v>3526547806.8983703</x:v>
      </x:c>
      <x:c r="O24" s="74" t="n">
        <x:f>IF(COUNT('Метод 2'!$B$28:$G$33)&lt;36,"",SUM('Метод 2'!B31*N21,'Метод 2'!C31*N22,'Метод 2'!D31*N23,'Метод 2'!E31*N24,'Метод 2'!F31*N25,'Метод 2'!G31*N26))</x:f>
        <x:v>21874778653.387417</x:v>
      </x:c>
      <x:c r="P24" s="74" t="n">
        <x:f>IF(COUNT('Метод 2'!$B$28:$G$33)&lt;36,"",SUM('Метод 2'!B31*O21,'Метод 2'!C31*O22,'Метод 2'!D31*O23,'Метод 2'!E31*O24,'Метод 2'!F31*O25,'Метод 2'!G31*O26))</x:f>
        <x:v>135686787004.94711</x:v>
      </x:c>
      <x:c r="Q24" s="74" t="n">
        <x:f>IF(COUNT('Метод 2'!$B$28:$G$33)&lt;36,"",SUM('Метод 2'!B31*P21,'Метод 2'!C31*P22,'Метод 2'!D31*P23,'Метод 2'!E31*P24,'Метод 2'!F31*P25,'Метод 2'!G31*P26))</x:f>
        <x:v>841649849956.3932</x:v>
      </x:c>
      <x:c r="R24" s="74" t="n">
        <x:f>IF(COUNT('Метод 2'!$B$28:$G$33)&lt;36,"",SUM('Метод 2'!B31*Q21,'Метод 2'!C31*Q22,'Метод 2'!D31*Q23,'Метод 2'!E31*Q24,'Метод 2'!F31*Q25,'Метод 2'!G31*Q26))</x:f>
        <x:v>5220659178146.047</x:v>
      </x:c>
      <x:c r="S24" s="74" t="n">
        <x:f>IF(COUNT('Метод 2'!$B$28:$G$33)&lt;36,"",SUM('Метод 2'!B31*R21,'Метод 2'!C31*R22,'Метод 2'!D31*R23,'Метод 2'!E31*R24,'Метод 2'!F31*R25,'Метод 2'!G31*R26))</x:f>
        <x:v>32383160592964.555</x:v>
      </x:c>
      <x:c r="T24" s="74" t="n">
        <x:f>IF(COUNT('Метод 2'!$B$28:$G$33)&lt;36,"",SUM('Метод 2'!B31*S21,'Метод 2'!C31*S22,'Метод 2'!D31*S23,'Метод 2'!E31*S24,'Метод 2'!F31*S25,'Метод 2'!G31*S26))</x:f>
        <x:v>200869096067334.7</x:v>
      </x:c>
      <x:c r="U24" s="74" t="n">
        <x:f>IF(COUNT('Метод 2'!$B$28:$G$33)&lt;36,"",SUM('Метод 2'!B31*T21,'Метод 2'!C31*T22,'Метод 2'!D31*T23,'Метод 2'!E31*T24,'Метод 2'!F31*T25,'Метод 2'!G31*T26))</x:f>
        <x:v>1245968368006753</x:v>
      </x:c>
      <x:c r="V24" s="74" t="n">
        <x:f>IF(COUNT('Метод 2'!$B$28:$G$33)&lt;36,"",SUM('Метод 2'!B31*U21,'Метод 2'!C31*U22,'Метод 2'!D31*U23,'Метод 2'!E31*U24,'Метод 2'!F31*U25,'Метод 2'!G31*U26))</x:f>
        <x:v>7728601385018438</x:v>
      </x:c>
      <x:c r="W24" s="73" t="n">
        <x:f>IF(COUNT(V24)=0,"",SUM('Метод 2'!B31*V21,'Метод 2'!C31*V22,'Метод 2'!D31*V23,'Метод 2'!E31*V24,'Метод 2'!F31*V25,'Метод 2'!G31*V26)/V24)</x:f>
        <x:v>6.202887315175</x:v>
      </x:c>
      <x:c r="X24" s="73"/>
    </x:row>
    <x:row r="25">
      <x:c r="A25" s="66" t="str">
        <x:v>4–5</x:v>
      </x:c>
      <x:c r="B25" s="66">
        <x:v>1</x:v>
      </x:c>
      <x:c r="C25" s="74" t="n">
        <x:f>IF(COUNT('Метод 2'!$B$28:$G$33)&lt;36,"",SUM('Метод 2'!B32*B21,'Метод 2'!C32*B22,'Метод 2'!D32*B23,'Метод 2'!E32*B24,'Метод 2'!F32*B25,'Метод 2'!G32*B26))</x:f>
        <x:v>4.027777777777778</x:v>
      </x:c>
      <x:c r="D25" s="74" t="n">
        <x:f>IF(COUNT('Метод 2'!$B$28:$G$33)&lt;36,"",SUM('Метод 2'!B32*C21,'Метод 2'!C32*C22,'Метод 2'!D32*C23,'Метод 2'!E32*C24,'Метод 2'!F32*C25,'Метод 2'!G32*C26))</x:f>
        <x:v>23.038095238095238</x:v>
      </x:c>
      <x:c r="E25" s="74" t="n">
        <x:f>IF(COUNT('Метод 2'!$B$28:$G$33)&lt;36,"",SUM('Метод 2'!B32*D21,'Метод 2'!C32*D22,'Метод 2'!D32*D23,'Метод 2'!E32*D24,'Метод 2'!F32*D25,'Метод 2'!G32*D26))</x:f>
        <x:v>145.55906084656084</x:v>
      </x:c>
      <x:c r="F25" s="74" t="n">
        <x:f>IF(COUNT('Метод 2'!$B$28:$G$33)&lt;36,"",SUM('Метод 2'!B32*E21,'Метод 2'!C32*E22,'Метод 2'!D32*E23,'Метод 2'!E32*E24,'Метод 2'!F32*E25,'Метод 2'!G32*E26))</x:f>
        <x:v>905.1327601410935</x:v>
      </x:c>
      <x:c r="G25" s="74" t="n">
        <x:f>IF(COUNT('Метод 2'!$B$28:$G$33)&lt;36,"",SUM('Метод 2'!B32*F21,'Метод 2'!C32*F22,'Метод 2'!D32*F23,'Метод 2'!E32*F24,'Метод 2'!F32*F25,'Метод 2'!G32*F26))</x:f>
        <x:v>5611.050244551524</x:v>
      </x:c>
      <x:c r="H25" s="74" t="n">
        <x:f>IF(COUNT('Метод 2'!$B$28:$G$33)&lt;36,"",SUM('Метод 2'!B32*G21,'Метод 2'!C32*G22,'Метод 2'!D32*G23,'Метод 2'!E32*G24,'Метод 2'!F32*G25,'Метод 2'!G32*G26))</x:f>
        <x:v>34802.05710209855</x:v>
      </x:c>
      <x:c r="I25" s="74" t="n">
        <x:f>IF(COUNT('Метод 2'!$B$28:$G$33)&lt;36,"",SUM('Метод 2'!B32*H21,'Метод 2'!C32*H22,'Метод 2'!D32*H23,'Метод 2'!E32*H24,'Метод 2'!F32*H25,'Метод 2'!G32*H26))</x:f>
        <x:v>215877.56343272777</x:v>
      </x:c>
      <x:c r="J25" s="74" t="n">
        <x:f>IF(COUNT('Метод 2'!$B$28:$G$33)&lt;36,"",SUM('Метод 2'!B32*I21,'Метод 2'!C32*I22,'Метод 2'!D32*I23,'Метод 2'!E32*I24,'Метод 2'!F32*I25,'Метод 2'!G32*I26))</x:f>
        <x:v>1339067.32332444</x:v>
      </x:c>
      <x:c r="K25" s="74" t="n">
        <x:f>IF(COUNT('Метод 2'!$B$28:$G$33)&lt;36,"",SUM('Метод 2'!B32*J21,'Метод 2'!C32*J22,'Метод 2'!D32*J23,'Метод 2'!E32*J24,'Метод 2'!F32*J25,'Метод 2'!G32*J26))</x:f>
        <x:v>8306078.2017950015</x:v>
      </x:c>
      <x:c r="L25" s="74" t="n">
        <x:f>IF(COUNT('Метод 2'!$B$28:$G$33)&lt;36,"",SUM('Метод 2'!B32*K21,'Метод 2'!C32*K22,'Метод 2'!D32*K23,'Метод 2'!E32*K24,'Метод 2'!F32*K25,'Метод 2'!G32*K26))</x:f>
        <x:v>51521663.46023889</x:v>
      </x:c>
      <x:c r="M25" s="74" t="n">
        <x:f>IF(COUNT('Метод 2'!$B$28:$G$33)&lt;36,"",SUM('Метод 2'!B32*L21,'Метод 2'!C32*L22,'Метод 2'!D32*L23,'Метод 2'!E32*L24,'Метод 2'!F32*L25,'Метод 2'!G32*L26))</x:f>
        <x:v>319583079.74619555</x:v>
      </x:c>
      <x:c r="N25" s="74" t="n">
        <x:f>IF(COUNT('Метод 2'!$B$28:$G$33)&lt;36,"",SUM('Метод 2'!B32*M21,'Метод 2'!C32*M22,'Метод 2'!D32*M23,'Метод 2'!E32*M24,'Метод 2'!F32*M25,'Метод 2'!G32*M26))</x:f>
        <x:v>1982337835.7594342</x:v>
      </x:c>
      <x:c r="O25" s="74" t="n">
        <x:f>IF(COUNT('Метод 2'!$B$28:$G$33)&lt;36,"",SUM('Метод 2'!B32*N21,'Метод 2'!C32*N22,'Метод 2'!D32*N23,'Метод 2'!E32*N24,'Метод 2'!F32*N25,'Метод 2'!G32*N26))</x:f>
        <x:v>12296218206.920376</x:v>
      </x:c>
      <x:c r="P25" s="74" t="n">
        <x:f>IF(COUNT('Метод 2'!$B$28:$G$33)&lt;36,"",SUM('Метод 2'!B32*O21,'Метод 2'!C32*O22,'Метод 2'!D32*O23,'Метод 2'!E32*O24,'Метод 2'!F32*O25,'Метод 2'!G32*O26))</x:f>
        <x:v>76272055935.40466</x:v>
      </x:c>
      <x:c r="Q25" s="74" t="n">
        <x:f>IF(COUNT('Метод 2'!$B$28:$G$33)&lt;36,"",SUM('Метод 2'!B32*P21,'Метод 2'!C32*P22,'Метод 2'!D32*P23,'Метод 2'!E32*P24,'Метод 2'!F32*P25,'Метод 2'!G32*P26))</x:f>
        <x:v>473106968275.3246</x:v>
      </x:c>
      <x:c r="R25" s="74" t="n">
        <x:f>IF(COUNT('Метод 2'!$B$28:$G$33)&lt;36,"",SUM('Метод 2'!B32*Q21,'Метод 2'!C32*Q22,'Метод 2'!D32*Q23,'Метод 2'!E32*Q24,'Метод 2'!F32*Q25,'Метод 2'!G32*Q26))</x:f>
        <x:v>2934629212241.572</x:v>
      </x:c>
      <x:c r="S25" s="74" t="n">
        <x:f>IF(COUNT('Метод 2'!$B$28:$G$33)&lt;36,"",SUM('Метод 2'!B32*R21,'Метод 2'!C32*R22,'Метод 2'!D32*R23,'Метод 2'!E32*R24,'Метод 2'!F32*R25,'Метод 2'!G32*R26))</x:f>
        <x:v>18203174315340.977</x:v>
      </x:c>
      <x:c r="T25" s="74" t="n">
        <x:f>IF(COUNT('Метод 2'!$B$28:$G$33)&lt;36,"",SUM('Метод 2'!B32*S21,'Метод 2'!C32*S22,'Метод 2'!D32*S23,'Метод 2'!E32*S24,'Метод 2'!F32*S25,'Метод 2'!G32*S26))</x:f>
        <x:v>112912239056541.5</x:v>
      </x:c>
      <x:c r="U25" s="74" t="n">
        <x:f>IF(COUNT('Метод 2'!$B$28:$G$33)&lt;36,"",SUM('Метод 2'!B32*T21,'Метод 2'!C32*T22,'Метод 2'!D32*T23,'Метод 2'!E32*T24,'Метод 2'!F32*T25,'Метод 2'!G32*T26))</x:f>
        <x:v>700381895371847</x:v>
      </x:c>
      <x:c r="V25" s="74" t="n">
        <x:f>IF(COUNT('Метод 2'!$B$28:$G$33)&lt;36,"",SUM('Метод 2'!B32*U21,'Метод 2'!C32*U22,'Метод 2'!D32*U23,'Метод 2'!E32*U24,'Метод 2'!F32*U25,'Метод 2'!G32*U26))</x:f>
        <x:v>4344389974580263</x:v>
      </x:c>
      <x:c r="W25" s="73" t="n">
        <x:f>IF(COUNT(V25)=0,"",SUM('Метод 2'!B32*V21,'Метод 2'!C32*V22,'Метод 2'!D32*V23,'Метод 2'!E32*V24,'Метод 2'!F32*V25,'Метод 2'!G32*V26)/V25)</x:f>
        <x:v>6.202887315174999</x:v>
      </x:c>
      <x:c r="X25" s="73"/>
    </x:row>
    <x:row r="26">
      <x:c r="A26" s="66" t="str">
        <x:v>5–6</x:v>
      </x:c>
      <x:c r="B26" s="66">
        <x:v>1</x:v>
      </x:c>
      <x:c r="C26" s="74" t="n">
        <x:f>IF(COUNT('Метод 2'!$B$28:$G$33)&lt;36,"",SUM('Метод 2'!B33*B21,'Метод 2'!C33*B22,'Метод 2'!D33*B23,'Метод 2'!E33*B24,'Метод 2'!F33*B25,'Метод 2'!G33*B26))</x:f>
        <x:v>2.1527777777777777</x:v>
      </x:c>
      <x:c r="D26" s="74" t="n">
        <x:f>IF(COUNT('Метод 2'!$B$28:$G$33)&lt;36,"",SUM('Метод 2'!B33*C21,'Метод 2'!C33*C22,'Метод 2'!D33*C23,'Метод 2'!E33*C24,'Метод 2'!F33*C25,'Метод 2'!G33*C26))</x:f>
        <x:v>14.86765873015873</x:v>
      </x:c>
      <x:c r="E26" s="74" t="n">
        <x:f>IF(COUNT('Метод 2'!$B$28:$G$33)&lt;36,"",SUM('Метод 2'!B33*D21,'Метод 2'!C33*D22,'Метод 2'!D33*D23,'Метод 2'!E33*D24,'Метод 2'!F33*D25,'Метод 2'!G33*D26))</x:f>
        <x:v>96.8978835978836</x:v>
      </x:c>
      <x:c r="F26" s="74" t="n">
        <x:f>IF(COUNT('Метод 2'!$B$28:$G$33)&lt;36,"",SUM('Метод 2'!B33*E21,'Метод 2'!C33*E22,'Метод 2'!D33*E23,'Метод 2'!E33*E24,'Метод 2'!F33*E25,'Метод 2'!G33*E26))</x:f>
        <x:v>599.0311232363315</x:v>
      </x:c>
      <x:c r="G26" s="74" t="n">
        <x:f>IF(COUNT('Метод 2'!$B$28:$G$33)&lt;36,"",SUM('Метод 2'!B33*F21,'Метод 2'!C33*F22,'Метод 2'!D33*F23,'Метод 2'!E33*F24,'Метод 2'!F33*F25,'Метод 2'!G33*F26))</x:f>
        <x:v>3709.9778521038047</x:v>
      </x:c>
      <x:c r="H26" s="74" t="n">
        <x:f>IF(COUNT('Метод 2'!$B$28:$G$33)&lt;36,"",SUM('Метод 2'!B33*G21,'Метод 2'!C33*G22,'Метод 2'!D33*G23,'Метод 2'!E33*G24,'Метод 2'!F33*G25,'Метод 2'!G33*G26))</x:f>
        <x:v>23015.32417321481</x:v>
      </x:c>
      <x:c r="I26" s="74" t="n">
        <x:f>IF(COUNT('Метод 2'!$B$28:$G$33)&lt;36,"",SUM('Метод 2'!B33*H21,'Метод 2'!C33*H22,'Метод 2'!D33*H23,'Метод 2'!E33*H24,'Метод 2'!F33*H25,'Метод 2'!G33*H26))</x:f>
        <x:v>142768.49580990744</x:v>
      </x:c>
      <x:c r="J26" s="74" t="n">
        <x:f>IF(COUNT('Метод 2'!$B$28:$G$33)&lt;36,"",SUM('Метод 2'!B33*I21,'Метод 2'!C33*I22,'Метод 2'!D33*I23,'Метод 2'!E33*I24,'Метод 2'!F33*I25,'Метод 2'!G33*I26))</x:f>
        <x:v>885573.1763966535</x:v>
      </x:c>
      <x:c r="K26" s="74" t="n">
        <x:f>IF(COUNT('Метод 2'!$B$28:$G$33)&lt;36,"",SUM('Метод 2'!B33*J21,'Метод 2'!C33*J22,'Метод 2'!D33*J23,'Метод 2'!E33*J24,'Метод 2'!F33*J25,'Метод 2'!G33*J26))</x:f>
        <x:v>5493102.025501592</x:v>
      </x:c>
      <x:c r="L26" s="74" t="n">
        <x:f>IF(COUNT('Метод 2'!$B$28:$G$33)&lt;36,"",SUM('Метод 2'!B33*K21,'Метод 2'!C33*K22,'Метод 2'!D33*K23,'Метод 2'!E33*K24,'Метод 2'!F33*K25,'Метод 2'!G33*K26))</x:f>
        <x:v>34073097.85719491</x:v>
      </x:c>
      <x:c r="M26" s="74" t="n">
        <x:f>IF(COUNT('Метод 2'!$B$28:$G$33)&lt;36,"",SUM('Метод 2'!B33*L21,'Метод 2'!C33*L22,'Метод 2'!D33*L23,'Метод 2'!E33*L24,'Метод 2'!F33*L25,'Метод 2'!G33*L26))</x:f>
        <x:v>211351596.9768943</x:v>
      </x:c>
      <x:c r="N26" s="74" t="n">
        <x:f>IF(COUNT('Метод 2'!$B$28:$G$33)&lt;36,"",SUM('Метод 2'!B33*M21,'Метод 2'!C33*M22,'Метод 2'!D33*M23,'Метод 2'!E33*M24,'Метод 2'!F33*M25,'Метод 2'!G33*M26))</x:f>
        <x:v>1310990133.2920618</x:v>
      </x:c>
      <x:c r="O26" s="74" t="n">
        <x:f>IF(COUNT('Метод 2'!$B$28:$G$33)&lt;36,"",SUM('Метод 2'!B33*N21,'Метод 2'!C33*N22,'Метод 2'!D33*N23,'Метод 2'!E33*N24,'Метод 2'!F33*N25,'Метод 2'!G33*N26))</x:f>
        <x:v>8131924055.340998</x:v>
      </x:c>
      <x:c r="P26" s="74" t="n">
        <x:f>IF(COUNT('Метод 2'!$B$28:$G$33)&lt;36,"",SUM('Метод 2'!B33*O21,'Метод 2'!C33*O22,'Метод 2'!D33*O23,'Метод 2'!E33*O24,'Метод 2'!F33*O25,'Метод 2'!G33*O26))</x:f>
        <x:v>50441408579.634766</x:v>
      </x:c>
      <x:c r="Q26" s="74" t="n">
        <x:f>IF(COUNT('Метод 2'!$B$28:$G$33)&lt;36,"",SUM('Метод 2'!B33*P21,'Метод 2'!C33*P22,'Метод 2'!D33*P23,'Метод 2'!E33*P24,'Метод 2'!F33*P25,'Метод 2'!G33*P26))</x:f>
        <x:v>312882373453.7068</x:v>
      </x:c>
      <x:c r="R26" s="74" t="n">
        <x:f>IF(COUNT('Метод 2'!$B$28:$G$33)&lt;36,"",SUM('Метод 2'!B33*Q21,'Метод 2'!C33*Q22,'Метод 2'!D33*Q23,'Метод 2'!E33*Q24,'Метод 2'!F33*Q25,'Метод 2'!G33*Q26))</x:f>
        <x:v>1940774105426.2546</x:v>
      </x:c>
      <x:c r="S26" s="74" t="n">
        <x:f>IF(COUNT('Метод 2'!$B$28:$G$33)&lt;36,"",SUM('Метод 2'!B33*R21,'Метод 2'!C33*R22,'Метод 2'!D33*R23,'Метод 2'!E33*R24,'Метод 2'!F33*R25,'Метод 2'!G33*R26))</x:f>
        <x:v>12038403080149.785</x:v>
      </x:c>
      <x:c r="T26" s="74" t="n">
        <x:f>IF(COUNT('Метод 2'!$B$28:$G$33)&lt;36,"",SUM('Метод 2'!B33*S21,'Метод 2'!C33*S22,'Метод 2'!D33*S23,'Метод 2'!E33*S24,'Метод 2'!F33*S25,'Метод 2'!G33*S26))</x:f>
        <x:v>74672857760839.98</x:v>
      </x:c>
      <x:c r="U26" s="74" t="n">
        <x:f>IF(COUNT('Метод 2'!$B$28:$G$33)&lt;36,"",SUM('Метод 2'!B33*T21,'Метод 2'!C33*T22,'Метод 2'!D33*T23,'Метод 2'!E33*T24,'Метод 2'!F33*T25,'Метод 2'!G33*T26))</x:f>
        <x:v>463187322192604.56</x:v>
      </x:c>
      <x:c r="V26" s="74" t="n">
        <x:f>IF(COUNT('Метод 2'!$B$28:$G$33)&lt;36,"",SUM('Метод 2'!B33*U21,'Метод 2'!C33*U22,'Метод 2'!D33*U23,'Метод 2'!E33*U24,'Метод 2'!F33*U25,'Метод 2'!G33*U26))</x:f>
        <x:v>2873098765378363.5</x:v>
      </x:c>
      <x:c r="W26" s="73" t="n">
        <x:f>IF(COUNT(V26)=0,"",SUM('Метод 2'!B33*V21,'Метод 2'!C33*V22,'Метод 2'!D33*V23,'Метод 2'!E33*V24,'Метод 2'!F33*V25,'Метод 2'!G33*V26)/V26)</x:f>
        <x:v>6.202887315174994</x:v>
      </x:c>
      <x:c r="X26" s="73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</x:row>
    <x:row r="29">
      <x:c r="A29" s="69" t="str">
        <x:v>Итерации: средне</x:v>
      </x:c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</x:row>
    <x:row r="30">
      <x:c r="A30" s="71" t="s">
        <x:v>7</x:v>
      </x:c>
      <x:c r="B30" s="71" t="s">
        <x:v>8</x:v>
      </x:c>
      <x:c r="C30" s="71" t="s">
        <x:v>9</x:v>
      </x:c>
      <x:c r="D30" s="71" t="s">
        <x:v>10</x:v>
      </x:c>
      <x:c r="E30" s="71" t="s">
        <x:v>11</x:v>
      </x:c>
      <x:c r="F30" s="71" t="s">
        <x:v>12</x:v>
      </x:c>
      <x:c r="G30" s="71" t="s">
        <x:v>13</x:v>
      </x:c>
      <x:c r="H30" s="71" t="s">
        <x:v>14</x:v>
      </x:c>
      <x:c r="I30" s="71" t="s">
        <x:v>15</x:v>
      </x:c>
      <x:c r="J30" s="71" t="s">
        <x:v>16</x:v>
      </x:c>
      <x:c r="K30" s="71" t="s">
        <x:v>17</x:v>
      </x:c>
      <x:c r="L30" s="71" t="s">
        <x:v>18</x:v>
      </x:c>
      <x:c r="M30" s="71" t="s">
        <x:v>19</x:v>
      </x:c>
      <x:c r="N30" s="71" t="s">
        <x:v>20</x:v>
      </x:c>
      <x:c r="O30" s="71" t="s">
        <x:v>21</x:v>
      </x:c>
      <x:c r="P30" s="71" t="s">
        <x:v>22</x:v>
      </x:c>
      <x:c r="Q30" s="71" t="s">
        <x:v>23</x:v>
      </x:c>
      <x:c r="R30" s="71" t="s">
        <x:v>24</x:v>
      </x:c>
      <x:c r="S30" s="71" t="s">
        <x:v>25</x:v>
      </x:c>
      <x:c r="T30" s="71" t="s">
        <x:v>26</x:v>
      </x:c>
      <x:c r="U30" s="71" t="s">
        <x:v>27</x:v>
      </x:c>
      <x:c r="V30" s="71" t="s">
        <x:v>28</x:v>
      </x:c>
      <x:c r="W30" s="71" t="s">
        <x:v>29</x:v>
      </x:c>
      <x:c r="X30" s="71" t="s">
        <x:v>30</x:v>
      </x:c>
    </x:row>
    <x:row r="31">
      <x:c r="A31" s="66" t="str">
        <x:v>0–1</x:v>
      </x:c>
      <x:c r="B31" s="66">
        <x:v>1</x:v>
      </x:c>
      <x:c r="C31" s="74" t="n">
        <x:f>IF(COUNT('Метод 2'!$B$40:$G$45)&lt;36,"",SUM('Метод 2'!B40*B31,'Метод 2'!C40*B32,'Метод 2'!D40*B33,'Метод 2'!E40*B34,'Метод 2'!F40*B35,'Метод 2'!G40*B36))</x:f>
        <x:v>4.176190476190476</x:v>
      </x:c>
      <x:c r="D31" s="74" t="n">
        <x:f>IF(COUNT('Метод 2'!$B$40:$G$45)&lt;36,"",SUM('Метод 2'!B40*C31,'Метод 2'!C40*C32,'Метод 2'!D40*C33,'Метод 2'!E40*C34,'Метод 2'!F40*C35,'Метод 2'!G40*C36))</x:f>
        <x:v>22.456349206349206</x:v>
      </x:c>
      <x:c r="E31" s="74" t="n">
        <x:f>IF(COUNT('Метод 2'!$B$40:$G$45)&lt;36,"",SUM('Метод 2'!B40*D31,'Метод 2'!C40*D32,'Метод 2'!D40*D33,'Метод 2'!E40*D34,'Метод 2'!F40*D35,'Метод 2'!G40*D36))</x:f>
        <x:v>139.5624603174603</x:v>
      </x:c>
      <x:c r="F31" s="74" t="n">
        <x:f>IF(COUNT('Метод 2'!$B$40:$G$45)&lt;36,"",SUM('Метод 2'!B40*E31,'Метод 2'!C40*E32,'Метод 2'!D40*E33,'Метод 2'!E40*E34,'Метод 2'!F40*E35,'Метод 2'!G40*E36))</x:f>
        <x:v>857.2416156462585</x:v>
      </x:c>
      <x:c r="G31" s="74" t="n">
        <x:f>IF(COUNT('Метод 2'!$B$40:$G$45)&lt;36,"",SUM('Метод 2'!B40*F31,'Метод 2'!C40*F32,'Метод 2'!D40*F33,'Метод 2'!E40*F34,'Метод 2'!F40*F35,'Метод 2'!G40*F36))</x:f>
        <x:v>5251.45935361552</x:v>
      </x:c>
      <x:c r="H31" s="74" t="n">
        <x:f>IF(COUNT('Метод 2'!$B$40:$G$45)&lt;36,"",SUM('Метод 2'!B40*G31,'Метод 2'!C40*G32,'Метод 2'!D40*G33,'Метод 2'!E40*G34,'Метод 2'!F40*G35,'Метод 2'!G40*G36))</x:f>
        <x:v>32177.159566452498</x:v>
      </x:c>
      <x:c r="I31" s="74" t="n">
        <x:f>IF(COUNT('Метод 2'!$B$40:$G$45)&lt;36,"",SUM('Метод 2'!B40*H31,'Метод 2'!C40*H32,'Метод 2'!D40*H33,'Метод 2'!E40*H34,'Метод 2'!F40*H35,'Метод 2'!G40*H36))</x:f>
        <x:v>197168.0390874914</x:v>
      </x:c>
      <x:c r="J31" s="74" t="n">
        <x:f>IF(COUNT('Метод 2'!$B$40:$G$45)&lt;36,"",SUM('Метод 2'!B40*I31,'Метод 2'!C40*I32,'Метод 2'!D40*I33,'Метод 2'!E40*I34,'Метод 2'!F40*I35,'Метод 2'!G40*I36))</x:f>
        <x:v>1208158.0709718275</x:v>
      </x:c>
      <x:c r="K31" s="74" t="n">
        <x:f>IF(COUNT('Метод 2'!$B$40:$G$45)&lt;36,"",SUM('Метод 2'!B40*J31,'Метод 2'!C40*J32,'Метод 2'!D40*J33,'Метод 2'!E40*J34,'Метод 2'!F40*J35,'Метод 2'!G40*J36))</x:f>
        <x:v>7403048.817844516</x:v>
      </x:c>
      <x:c r="L31" s="74" t="n">
        <x:f>IF(COUNT('Метод 2'!$B$40:$G$45)&lt;36,"",SUM('Метод 2'!B40*K31,'Метод 2'!C40*K32,'Метод 2'!D40*K33,'Метод 2'!E40*K34,'Метод 2'!F40*K35,'Метод 2'!G40*K36))</x:f>
        <x:v>45362553.55396956</x:v>
      </x:c>
      <x:c r="M31" s="74" t="n">
        <x:f>IF(COUNT('Метод 2'!$B$40:$G$45)&lt;36,"",SUM('Метод 2'!B40*L31,'Метод 2'!C40*L32,'Метод 2'!D40*L33,'Метод 2'!E40*L34,'Метод 2'!F40*L35,'Метод 2'!G40*L36))</x:f>
        <x:v>277961330.4536002</x:v>
      </x:c>
      <x:c r="N31" s="74" t="n">
        <x:f>IF(COUNT('Метод 2'!$B$40:$G$45)&lt;36,"",SUM('Метод 2'!B40*M31,'Метод 2'!C40*M32,'Метод 2'!D40*M33,'Метод 2'!E40*M34,'Метод 2'!F40*M35,'Метод 2'!G40*M36))</x:f>
        <x:v>1703222043.1314034</x:v>
      </x:c>
      <x:c r="O31" s="74" t="n">
        <x:f>IF(COUNT('Метод 2'!$B$40:$G$45)&lt;36,"",SUM('Метод 2'!B40*N31,'Метод 2'!C40*N32,'Метод 2'!D40*N33,'Метод 2'!E40*N34,'Метод 2'!F40*N35,'Метод 2'!G40*N36))</x:f>
        <x:v>10436578795.317142</x:v>
      </x:c>
      <x:c r="P31" s="74" t="n">
        <x:f>IF(COUNT('Метод 2'!$B$40:$G$45)&lt;36,"",SUM('Метод 2'!B40*O31,'Метод 2'!C40*O32,'Метод 2'!D40*O33,'Метод 2'!E40*O34,'Метод 2'!F40*O35,'Метод 2'!G40*O36))</x:f>
        <x:v>63950661860.013824</x:v>
      </x:c>
      <x:c r="Q31" s="74" t="n">
        <x:f>IF(COUNT('Метод 2'!$B$40:$G$45)&lt;36,"",SUM('Метод 2'!B40*P31,'Метод 2'!C40*P32,'Метод 2'!D40*P33,'Метод 2'!E40*P34,'Метод 2'!F40*P35,'Метод 2'!G40*P36))</x:f>
        <x:v>391860899300.7948</x:v>
      </x:c>
      <x:c r="R31" s="74" t="n">
        <x:f>IF(COUNT('Метод 2'!$B$40:$G$45)&lt;36,"",SUM('Метод 2'!B40*Q31,'Метод 2'!C40*Q32,'Метод 2'!D40*Q33,'Метод 2'!E40*Q34,'Метод 2'!F40*Q35,'Метод 2'!G40*Q36))</x:f>
        <x:v>2401147383539.3374</x:v>
      </x:c>
      <x:c r="S31" s="74" t="n">
        <x:f>IF(COUNT('Метод 2'!$B$40:$G$45)&lt;36,"",SUM('Метод 2'!B40*R31,'Метод 2'!C40*R32,'Метод 2'!D40*R33,'Метод 2'!E40*R34,'Метод 2'!F40*R35,'Метод 2'!G40*R36))</x:f>
        <x:v>14713151446762.691</x:v>
      </x:c>
      <x:c r="T31" s="74" t="n">
        <x:f>IF(COUNT('Метод 2'!$B$40:$G$45)&lt;36,"",SUM('Метод 2'!B40*S31,'Метод 2'!C40*S32,'Метод 2'!D40*S33,'Метод 2'!E40*S34,'Метод 2'!F40*S35,'Метод 2'!G40*S36))</x:f>
        <x:v>90155576029775.03</x:v>
      </x:c>
      <x:c r="U31" s="74" t="n">
        <x:f>IF(COUNT('Метод 2'!$B$40:$G$45)&lt;36,"",SUM('Метод 2'!B40*T31,'Метод 2'!C40*T32,'Метод 2'!D40*T33,'Метод 2'!E40*T34,'Метод 2'!F40*T35,'Метод 2'!G40*T36))</x:f>
        <x:v>552432829816956.6</x:v>
      </x:c>
      <x:c r="V31" s="74" t="n">
        <x:f>IF(COUNT('Метод 2'!$B$40:$G$45)&lt;36,"",SUM('Метод 2'!B40*U31,'Метод 2'!C40*U32,'Метод 2'!D40*U33,'Метод 2'!E40*U34,'Метод 2'!F40*U35,'Метод 2'!G40*U36))</x:f>
        <x:v>3385059969654902.5</x:v>
      </x:c>
      <x:c r="W31" s="73" t="n">
        <x:f>IF(COUNT(V31)=0,"",SUM('Метод 2'!B40*V31,'Метод 2'!C40*V32,'Метод 2'!D40*V33,'Метод 2'!E40*V34,'Метод 2'!F40*V35,'Метод 2'!G40*V36)/V31)</x:f>
        <x:v>6.127550331823164</x:v>
      </x:c>
      <x:c r="X31" s="73" t="n">
        <x:f>IF(COUNT(W31:W36)&lt;6,"",AVERAGE(W31:W36))</x:f>
        <x:v>6.127550331823165</x:v>
      </x:c>
    </x:row>
    <x:row r="32">
      <x:c r="A32" s="66" t="str">
        <x:v>1–2</x:v>
      </x:c>
      <x:c r="B32" s="66">
        <x:v>1</x:v>
      </x:c>
      <x:c r="C32" s="74" t="n">
        <x:f>IF(COUNT('Метод 2'!$B$40:$G$45)&lt;36,"",SUM('Метод 2'!B41*B31,'Метод 2'!C41*B32,'Метод 2'!D41*B33,'Метод 2'!E41*B34,'Метод 2'!F41*B35,'Метод 2'!G41*B36))</x:f>
        <x:v>6.033333333333333</x:v>
      </x:c>
      <x:c r="D32" s="74" t="n">
        <x:f>IF(COUNT('Метод 2'!$B$40:$G$45)&lt;36,"",SUM('Метод 2'!B41*C31,'Метод 2'!C41*C32,'Метод 2'!D41*C33,'Метод 2'!E41*C34,'Метод 2'!F41*C35,'Метод 2'!G41*C36))</x:f>
        <x:v>34.73571428571429</x:v>
      </x:c>
      <x:c r="E32" s="74" t="n">
        <x:f>IF(COUNT('Метод 2'!$B$40:$G$45)&lt;36,"",SUM('Метод 2'!B41*D31,'Метод 2'!C41*D32,'Метод 2'!D41*D33,'Метод 2'!E41*D34,'Метод 2'!F41*D35,'Метод 2'!G41*D36))</x:f>
        <x:v>211.84865079365076</x:v>
      </x:c>
      <x:c r="F32" s="74" t="n">
        <x:f>IF(COUNT('Метод 2'!$B$40:$G$45)&lt;36,"",SUM('Метод 2'!B41*E31,'Метод 2'!C41*E32,'Метод 2'!D41*E33,'Метод 2'!E41*E34,'Метод 2'!F41*E35,'Метод 2'!G41*E36))</x:f>
        <x:v>1299.96873015873</x:v>
      </x:c>
      <x:c r="G32" s="74" t="n">
        <x:f>IF(COUNT('Метод 2'!$B$40:$G$45)&lt;36,"",SUM('Метод 2'!B41*F31,'Метод 2'!C41*F32,'Метод 2'!D41*F33,'Метод 2'!E41*F34,'Метод 2'!F41*F35,'Метод 2'!G41*F36))</x:f>
        <x:v>7966.360133408918</x:v>
      </x:c>
      <x:c r="H32" s="74" t="n">
        <x:f>IF(COUNT('Метод 2'!$B$40:$G$45)&lt;36,"",SUM('Метод 2'!B41*G31,'Метод 2'!C41*G32,'Метод 2'!D41*G33,'Метод 2'!E41*G34,'Метод 2'!F41*G35,'Метод 2'!G41*G36))</x:f>
        <x:v>48812.99137144115</x:v>
      </x:c>
      <x:c r="I32" s="74" t="n">
        <x:f>IF(COUNT('Метод 2'!$B$40:$G$45)&lt;36,"",SUM('Метод 2'!B41*H31,'Метод 2'!C41*H32,'Метод 2'!D41*H33,'Метод 2'!E41*H34,'Метод 2'!F41*H35,'Метод 2'!G41*H36))</x:f>
        <x:v>299103.5316152809</x:v>
      </x:c>
      <x:c r="J32" s="74" t="n">
        <x:f>IF(COUNT('Метод 2'!$B$40:$G$45)&lt;36,"",SUM('Метод 2'!B41*I31,'Метод 2'!C41*I32,'Метод 2'!D41*I33,'Метод 2'!E41*I34,'Метод 2'!F41*I35,'Метод 2'!G41*I36))</x:f>
        <x:v>1832772.806904082</x:v>
      </x:c>
      <x:c r="K32" s="74" t="n">
        <x:f>IF(COUNT('Метод 2'!$B$40:$G$45)&lt;36,"",SUM('Метод 2'!B41*J31,'Метод 2'!C41*J32,'Метод 2'!D41*J33,'Метод 2'!E41*J34,'Метод 2'!F41*J35,'Метод 2'!G41*J36))</x:f>
        <x:v>11230408.002470806</x:v>
      </x:c>
      <x:c r="L32" s="74" t="n">
        <x:f>IF(COUNT('Метод 2'!$B$40:$G$45)&lt;36,"",SUM('Метод 2'!B41*K31,'Метод 2'!C41*K32,'Метод 2'!D41*K33,'Метод 2'!E41*K34,'Метод 2'!F41*K35,'Метод 2'!G41*K36))</x:f>
        <x:v>68814889.70403224</x:v>
      </x:c>
      <x:c r="M32" s="74" t="n">
        <x:f>IF(COUNT('Метод 2'!$B$40:$G$45)&lt;36,"",SUM('Метод 2'!B41*L31,'Метод 2'!C41*L32,'Метод 2'!D41*L33,'Метод 2'!E41*L34,'Метод 2'!F41*L35,'Метод 2'!G41*L36))</x:f>
        <x:v>421666699.96647024</x:v>
      </x:c>
      <x:c r="N32" s="74" t="n">
        <x:f>IF(COUNT('Метод 2'!$B$40:$G$45)&lt;36,"",SUM('Метод 2'!B41*M31,'Метод 2'!C41*M32,'Метод 2'!D41*M33,'Метод 2'!E41*M34,'Метод 2'!F41*M35,'Метод 2'!G41*M36))</x:f>
        <x:v>2583783927.6850853</x:v>
      </x:c>
      <x:c r="O32" s="74" t="n">
        <x:f>IF(COUNT('Метод 2'!$B$40:$G$45)&lt;36,"",SUM('Метод 2'!B41*N31,'Метод 2'!C41*N32,'Метод 2'!D41*N33,'Метод 2'!E41*N34,'Метод 2'!F41*N35,'Метод 2'!G41*N36))</x:f>
        <x:v>15832266063.642103</x:v>
      </x:c>
      <x:c r="P32" s="74" t="n">
        <x:f>IF(COUNT('Метод 2'!$B$40:$G$45)&lt;36,"",SUM('Метод 2'!B41*O31,'Метод 2'!C41*O32,'Метод 2'!D41*O33,'Метод 2'!E41*O34,'Метод 2'!F41*O35,'Метод 2'!G41*O36))</x:f>
        <x:v>97013007171.52434</x:v>
      </x:c>
      <x:c r="Q32" s="74" t="n">
        <x:f>IF(COUNT('Метод 2'!$B$40:$G$45)&lt;36,"",SUM('Метод 2'!B41*P31,'Метод 2'!C41*P32,'Метод 2'!D41*P33,'Метод 2'!E41*P34,'Метод 2'!F41*P35,'Метод 2'!G41*P36))</x:f>
        <x:v>594452084284.8971</x:v>
      </x:c>
      <x:c r="R32" s="74" t="n">
        <x:f>IF(COUNT('Метод 2'!$B$40:$G$45)&lt;36,"",SUM('Метод 2'!B41*Q31,'Метод 2'!C41*Q32,'Метод 2'!D41*Q33,'Метод 2'!E41*Q34,'Метод 2'!F41*Q35,'Метод 2'!G41*Q36))</x:f>
        <x:v>3642535066313.066</x:v>
      </x:c>
      <x:c r="S32" s="74" t="n">
        <x:f>IF(COUNT('Метод 2'!$B$40:$G$45)&lt;36,"",SUM('Метод 2'!B41*R31,'Метод 2'!C41*R32,'Метод 2'!D41*R33,'Метод 2'!E41*R34,'Метод 2'!F41*R35,'Метод 2'!G41*R36))</x:f>
        <x:v>22319816954264.24</x:v>
      </x:c>
      <x:c r="T32" s="74" t="n">
        <x:f>IF(COUNT('Метод 2'!$B$40:$G$45)&lt;36,"",SUM('Метод 2'!B41*S31,'Метод 2'!C41*S32,'Метод 2'!D41*S33,'Метод 2'!E41*S34,'Метод 2'!F41*S35,'Метод 2'!G41*S36))</x:f>
        <x:v>136765801784334.03</x:v>
      </x:c>
      <x:c r="U32" s="74" t="n">
        <x:f>IF(COUNT('Метод 2'!$B$40:$G$45)&lt;36,"",SUM('Метод 2'!B41*T31,'Метод 2'!C41*T32,'Метод 2'!D41*T33,'Метод 2'!E41*T34,'Метод 2'!F41*T35,'Метод 2'!G41*T36))</x:f>
        <x:v>838039334105657</x:v>
      </x:c>
      <x:c r="V32" s="74" t="n">
        <x:f>IF(COUNT('Метод 2'!$B$40:$G$45)&lt;36,"",SUM('Метод 2'!B41*U31,'Метод 2'!C41*U32,'Метод 2'!D41*U33,'Метод 2'!E41*U34,'Метод 2'!F41*U35,'Метод 2'!G41*U36))</x:f>
        <x:v>5135128199779983</x:v>
      </x:c>
      <x:c r="W32" s="73" t="n">
        <x:f>IF(COUNT(V32)=0,"",SUM('Метод 2'!B41*V31,'Метод 2'!C41*V32,'Метод 2'!D41*V33,'Метод 2'!E41*V34,'Метод 2'!F41*V35,'Метод 2'!G41*V36)/V32)</x:f>
        <x:v>6.127550331823165</x:v>
      </x:c>
      <x:c r="X32" s="73" t="n">
        <x:f>IF(COUNT(X31)=0,"",X31-6)</x:f>
        <x:v>0.12755033182316478</x:v>
      </x:c>
    </x:row>
    <x:row r="33">
      <x:c r="A33" s="66" t="str">
        <x:v>2–3</x:v>
      </x:c>
      <x:c r="B33" s="66">
        <x:v>1</x:v>
      </x:c>
      <x:c r="C33" s="74" t="n">
        <x:f>IF(COUNT('Метод 2'!$B$40:$G$45)&lt;36,"",SUM('Метод 2'!B42*B31,'Метод 2'!C42*B32,'Метод 2'!D42*B33,'Метод 2'!E42*B34,'Метод 2'!F42*B35,'Метод 2'!G42*B36))</x:f>
        <x:v>16</x:v>
      </x:c>
      <x:c r="D33" s="74" t="n">
        <x:f>IF(COUNT('Метод 2'!$B$40:$G$45)&lt;36,"",SUM('Метод 2'!B42*C31,'Метод 2'!C42*C32,'Метод 2'!D42*C33,'Метод 2'!E42*C34,'Метод 2'!F42*C35,'Метод 2'!G42*C36))</x:f>
        <x:v>108.64761904761903</x:v>
      </x:c>
      <x:c r="E33" s="74" t="n">
        <x:f>IF(COUNT('Метод 2'!$B$40:$G$45)&lt;36,"",SUM('Метод 2'!B42*D31,'Метод 2'!C42*D32,'Метод 2'!D42*D33,'Метод 2'!E42*D34,'Метод 2'!F42*D35,'Метод 2'!G42*D36))</x:f>
        <x:v>662.090476190476</x:v>
      </x:c>
      <x:c r="F33" s="74" t="n">
        <x:f>IF(COUNT('Метод 2'!$B$40:$G$45)&lt;36,"",SUM('Метод 2'!B42*E31,'Метод 2'!C42*E32,'Метод 2'!D42*E33,'Метод 2'!E42*E34,'Метод 2'!F42*E35,'Метод 2'!G42*E36))</x:f>
        <x:v>4050.2368253968243</x:v>
      </x:c>
      <x:c r="G33" s="74" t="n">
        <x:f>IF(COUNT('Метод 2'!$B$40:$G$45)&lt;36,"",SUM('Метод 2'!B42*F31,'Метод 2'!C42*F32,'Метод 2'!D42*F33,'Метод 2'!E42*F34,'Метод 2'!F42*F35,'Метод 2'!G42*F36))</x:f>
        <x:v>24820.060194633406</x:v>
      </x:c>
      <x:c r="H33" s="74" t="n">
        <x:f>IF(COUNT('Метод 2'!$B$40:$G$45)&lt;36,"",SUM('Метод 2'!B42*G31,'Метод 2'!C42*G32,'Метод 2'!D42*G33,'Метод 2'!E42*G34,'Метод 2'!F42*G35,'Метод 2'!G42*G36))</x:f>
        <x:v>152090.7952396069</x:v>
      </x:c>
      <x:c r="I33" s="74" t="n">
        <x:f>IF(COUNT('Метод 2'!$B$40:$G$45)&lt;36,"",SUM('Метод 2'!B42*H31,'Метод 2'!C42*H32,'Метод 2'!D42*H33,'Метод 2'!E42*H34,'Метод 2'!F42*H35,'Метод 2'!G42*H36))</x:f>
        <x:v>931942.7671722095</x:v>
      </x:c>
      <x:c r="J33" s="74" t="n">
        <x:f>IF(COUNT('Метод 2'!$B$40:$G$45)&lt;36,"",SUM('Метод 2'!B42*I31,'Метод 2'!C42*I32,'Метод 2'!D42*I33,'Метод 2'!E42*I34,'Метод 2'!F42*I35,'Метод 2'!G42*I36))</x:f>
        <x:v>5710523.0297662495</x:v>
      </x:c>
      <x:c r="K33" s="74" t="n">
        <x:f>IF(COUNT('Метод 2'!$B$40:$G$45)&lt;36,"",SUM('Метод 2'!B42*J31,'Метод 2'!C42*J32,'Метод 2'!D42*J33,'Метод 2'!E42*J34,'Метод 2'!F42*J35,'Метод 2'!G42*J36))</x:f>
        <x:v>34991518.04540688</x:v>
      </x:c>
      <x:c r="L33" s="74" t="n">
        <x:f>IF(COUNT('Метод 2'!$B$40:$G$45)&lt;36,"",SUM('Метод 2'!B42*K31,'Метод 2'!C42*K32,'Метод 2'!D42*K33,'Метод 2'!E42*K34,'Метод 2'!F42*K35,'Метод 2'!G42*K36))</x:f>
        <x:v>214412290.19614124</x:v>
      </x:c>
      <x:c r="M33" s="74" t="n">
        <x:f>IF(COUNT('Метод 2'!$B$40:$G$45)&lt;36,"",SUM('Метод 2'!B42*L31,'Метод 2'!C42*L32,'Метод 2'!D42*L33,'Метод 2'!E42*L34,'Метод 2'!F42*L35,'Метод 2'!G42*L36))</x:f>
        <x:v>1313822099.4755995</x:v>
      </x:c>
      <x:c r="N33" s="74" t="n">
        <x:f>IF(COUNT('Метод 2'!$B$40:$G$45)&lt;36,"",SUM('Метод 2'!B42*M31,'Метод 2'!C42*M32,'Метод 2'!D42*M33,'Метод 2'!E42*M34,'Метод 2'!F42*M35,'Метод 2'!G42*M36))</x:f>
        <x:v>8050511040.0985</x:v>
      </x:c>
      <x:c r="O33" s="74" t="n">
        <x:f>IF(COUNT('Метод 2'!$B$40:$G$45)&lt;36,"",SUM('Метод 2'!B42*N31,'Метод 2'!C42*N32,'Метод 2'!D42*N33,'Метод 2'!E42*N34,'Метод 2'!F42*N35,'Метод 2'!G42*N36))</x:f>
        <x:v>49329911595.37952</x:v>
      </x:c>
      <x:c r="P33" s="74" t="n">
        <x:f>IF(COUNT('Метод 2'!$B$40:$G$45)&lt;36,"",SUM('Метод 2'!B42*O31,'Метод 2'!C42*O32,'Метод 2'!D42*O33,'Метод 2'!E42*O34,'Метод 2'!F42*O35,'Метод 2'!G42*O36))</x:f>
        <x:v>302271516166.10315</x:v>
      </x:c>
      <x:c r="Q33" s="74" t="n">
        <x:f>IF(COUNT('Метод 2'!$B$40:$G$45)&lt;36,"",SUM('Метод 2'!B42*P31,'Метод 2'!C42*P32,'Метод 2'!D42*P33,'Метод 2'!E42*P34,'Метод 2'!F42*P35,'Метод 2'!G42*P36))</x:f>
        <x:v>1852183929184.1326</x:v>
      </x:c>
      <x:c r="R33" s="74" t="n">
        <x:f>IF(COUNT('Метод 2'!$B$40:$G$45)&lt;36,"",SUM('Метод 2'!B42*Q31,'Метод 2'!C42*Q32,'Метод 2'!D42*Q33,'Метод 2'!E42*Q34,'Метод 2'!F42*Q35,'Метод 2'!G42*Q36))</x:f>
        <x:v>11349350249869.062</x:v>
      </x:c>
      <x:c r="S33" s="74" t="n">
        <x:f>IF(COUNT('Метод 2'!$B$40:$G$45)&lt;36,"",SUM('Метод 2'!B42*R31,'Метод 2'!C42*R32,'Метод 2'!D42*R33,'Метод 2'!E42*R34,'Метод 2'!F42*R35,'Метод 2'!G42*R36))</x:f>
        <x:v>69543714889562.58</x:v>
      </x:c>
      <x:c r="T33" s="74" t="n">
        <x:f>IF(COUNT('Метод 2'!$B$40:$G$45)&lt;36,"",SUM('Метод 2'!B42*S31,'Метод 2'!C42*S32,'Метод 2'!D42*S33,'Метод 2'!E42*S34,'Метод 2'!F42*S35,'Метод 2'!G42*S36))</x:f>
        <x:v>426132613247755.25</x:v>
      </x:c>
      <x:c r="U33" s="74" t="n">
        <x:f>IF(COUNT('Метод 2'!$B$40:$G$45)&lt;36,"",SUM('Метод 2'!B42*T31,'Метод 2'!C42*T32,'Метод 2'!D42*T33,'Метод 2'!E42*T34,'Метод 2'!F42*T35,'Метод 2'!G42*T36))</x:f>
        <x:v>2611149035706954.5</x:v>
      </x:c>
      <x:c r="V33" s="74" t="n">
        <x:f>IF(COUNT('Метод 2'!$B$40:$G$45)&lt;36,"",SUM('Метод 2'!B42*U31,'Метод 2'!C42*U32,'Метод 2'!D42*U33,'Метод 2'!E42*U34,'Метод 2'!F42*U35,'Метод 2'!G42*U36))</x:f>
        <x:v>15999947140185884</x:v>
      </x:c>
      <x:c r="W33" s="73" t="n">
        <x:f>IF(COUNT(V33)=0,"",SUM('Метод 2'!B42*V31,'Метод 2'!C42*V32,'Метод 2'!D42*V33,'Метод 2'!E42*V34,'Метод 2'!F42*V35,'Метод 2'!G42*V36)/V33)</x:f>
        <x:v>6.127550331823165</x:v>
      </x:c>
      <x:c r="X33" s="73"/>
    </x:row>
    <x:row r="34">
      <x:c r="A34" s="66" t="str">
        <x:v>3–4</x:v>
      </x:c>
      <x:c r="B34" s="66">
        <x:v>1</x:v>
      </x:c>
      <x:c r="C34" s="74" t="n">
        <x:f>IF(COUNT('Метод 2'!$B$40:$G$45)&lt;36,"",SUM('Метод 2'!B43*B31,'Метод 2'!C43*B32,'Метод 2'!D43*B33,'Метод 2'!E43*B34,'Метод 2'!F43*B35,'Метод 2'!G43*B36))</x:f>
        <x:v>23</x:v>
      </x:c>
      <x:c r="D34" s="74" t="n">
        <x:f>IF(COUNT('Метод 2'!$B$40:$G$45)&lt;36,"",SUM('Метод 2'!B43*C31,'Метод 2'!C43*C32,'Метод 2'!D43*C33,'Метод 2'!E43*C34,'Метод 2'!F43*C35,'Метод 2'!G43*C36))</x:f>
        <x:v>144.39999999999998</x:v>
      </x:c>
      <x:c r="E34" s="74" t="n">
        <x:f>IF(COUNT('Метод 2'!$B$40:$G$45)&lt;36,"",SUM('Метод 2'!B43*D31,'Метод 2'!C43*D32,'Метод 2'!D43*D33,'Метод 2'!E43*D34,'Метод 2'!F43*D35,'Метод 2'!G43*D36))</x:f>
        <x:v>872.7515873015873</x:v>
      </x:c>
      <x:c r="F34" s="74" t="n">
        <x:f>IF(COUNT('Метод 2'!$B$40:$G$45)&lt;36,"",SUM('Метод 2'!B43*E31,'Метод 2'!C43*E32,'Метод 2'!D43*E33,'Метод 2'!E43*E34,'Метод 2'!F43*E35,'Метод 2'!G43*E36))</x:f>
        <x:v>5344.077301587301</x:v>
      </x:c>
      <x:c r="G34" s="74" t="n">
        <x:f>IF(COUNT('Метод 2'!$B$40:$G$45)&lt;36,"",SUM('Метод 2'!B43*F31,'Метод 2'!C43*F32,'Метод 2'!D43*F33,'Метод 2'!E43*F34,'Метод 2'!F43*F35,'Метод 2'!G43*F36))</x:f>
        <x:v>32754.296785714283</x:v>
      </x:c>
      <x:c r="H34" s="74" t="n">
        <x:f>IF(COUNT('Метод 2'!$B$40:$G$45)&lt;36,"",SUM('Метод 2'!B43*G31,'Метод 2'!C43*G32,'Метод 2'!D43*G33,'Метод 2'!E43*G34,'Метод 2'!F43*G35,'Метод 2'!G43*G36))</x:f>
        <x:v>200706.46475913326</x:v>
      </x:c>
      <x:c r="I34" s="74" t="n">
        <x:f>IF(COUNT('Метод 2'!$B$40:$G$45)&lt;36,"",SUM('Метод 2'!B43*H31,'Метод 2'!C43*H32,'Метод 2'!D43*H33,'Метод 2'!E43*H34,'Метод 2'!F43*H35,'Метод 2'!G43*H36))</x:f>
        <x:v>1229833.4366614386</x:v>
      </x:c>
      <x:c r="J34" s="74" t="n">
        <x:f>IF(COUNT('Метод 2'!$B$40:$G$45)&lt;36,"",SUM('Метод 2'!B43*I31,'Метод 2'!C43*I32,'Метод 2'!D43*I33,'Метод 2'!E43*I34,'Метод 2'!F43*I35,'Метод 2'!G43*I36))</x:f>
        <x:v>7535864.188996445</x:v>
      </x:c>
      <x:c r="K34" s="74" t="n">
        <x:f>IF(COUNT('Метод 2'!$B$40:$G$45)&lt;36,"",SUM('Метод 2'!B43*J31,'Метод 2'!C43*J32,'Метод 2'!D43*J33,'Метод 2'!E43*J34,'Метод 2'!F43*J35,'Метод 2'!G43*J36))</x:f>
        <x:v>46176390.82669509</x:v>
      </x:c>
      <x:c r="L34" s="74" t="n">
        <x:f>IF(COUNT('Метод 2'!$B$40:$G$45)&lt;36,"",SUM('Метод 2'!B43*K31,'Метод 2'!C43*K32,'Метод 2'!D43*K33,'Метод 2'!E43*K34,'Метод 2'!F43*K35,'Метод 2'!G43*K36))</x:f>
        <x:v>282948160.450474</x:v>
      </x:c>
      <x:c r="M34" s="74" t="n">
        <x:f>IF(COUNT('Метод 2'!$B$40:$G$45)&lt;36,"",SUM('Метод 2'!B43*L31,'Метод 2'!C43*L32,'Метод 2'!D43*L33,'Метод 2'!E43*L34,'Метод 2'!F43*L35,'Метод 2'!G43*L36))</x:f>
        <x:v>1733779091.965123</x:v>
      </x:c>
      <x:c r="N34" s="74" t="n">
        <x:f>IF(COUNT('Метод 2'!$B$40:$G$45)&lt;36,"",SUM('Метод 2'!B43*M31,'Метод 2'!C43*M32,'Метод 2'!D43*M33,'Метод 2'!E43*M34,'Метод 2'!F43*M35,'Метод 2'!G43*M36))</x:f>
        <x:v>10623818649.183823</x:v>
      </x:c>
      <x:c r="O34" s="74" t="n">
        <x:f>IF(COUNT('Метод 2'!$B$40:$G$45)&lt;36,"",SUM('Метод 2'!B43*N31,'Метод 2'!C43*N32,'Метод 2'!D43*N33,'Метод 2'!E43*N34,'Метод 2'!F43*N35,'Метод 2'!G43*N36))</x:f>
        <x:v>65097983490.70497</x:v>
      </x:c>
      <x:c r="P34" s="74" t="n">
        <x:f>IF(COUNT('Метод 2'!$B$40:$G$45)&lt;36,"",SUM('Метод 2'!B43*O31,'Метод 2'!C43*O32,'Метод 2'!D43*O33,'Метод 2'!E43*O34,'Метод 2'!F43*O35,'Метод 2'!G43*O36))</x:f>
        <x:v>398891170340.275</x:v>
      </x:c>
      <x:c r="Q34" s="74" t="n">
        <x:f>IF(COUNT('Метод 2'!$B$40:$G$45)&lt;36,"",SUM('Метод 2'!B43*P31,'Метод 2'!C43*P32,'Метод 2'!D43*P33,'Метод 2'!E43*P34,'Метод 2'!F43*P35,'Метод 2'!G43*P36))</x:f>
        <x:v>2444225723178.7656</x:v>
      </x:c>
      <x:c r="R34" s="74" t="n">
        <x:f>IF(COUNT('Метод 2'!$B$40:$G$45)&lt;36,"",SUM('Метод 2'!B43*Q31,'Метод 2'!C43*Q32,'Метод 2'!D43*Q33,'Метод 2'!E43*Q34,'Метод 2'!F43*Q35,'Метод 2'!G43*Q36))</x:f>
        <x:v>14977116141114.195</x:v>
      </x:c>
      <x:c r="S34" s="74" t="n">
        <x:f>IF(COUNT('Метод 2'!$B$40:$G$45)&lt;36,"",SUM('Метод 2'!B43*R31,'Метод 2'!C43*R32,'Метод 2'!D43*R33,'Метод 2'!E43*R34,'Метод 2'!F43*R35,'Метод 2'!G43*R36))</x:f>
        <x:v>91773032980239.1</x:v>
      </x:c>
      <x:c r="T34" s="74" t="n">
        <x:f>IF(COUNT('Метод 2'!$B$40:$G$45)&lt;36,"",SUM('Метод 2'!B43*S31,'Метод 2'!C43*S32,'Метод 2'!D43*S33,'Метод 2'!E43*S34,'Метод 2'!F43*S35,'Метод 2'!G43*S36))</x:f>
        <x:v>562343878690482.8</x:v>
      </x:c>
      <x:c r="U34" s="74" t="n">
        <x:f>IF(COUNT('Метод 2'!$B$40:$G$45)&lt;36,"",SUM('Метод 2'!B43*T31,'Метод 2'!C43*T32,'Метод 2'!D43*T33,'Метод 2'!E43*T34,'Метод 2'!F43*T35,'Метод 2'!G43*T36))</x:f>
        <x:v>3445790420468593</x:v>
      </x:c>
      <x:c r="V34" s="74" t="n">
        <x:f>IF(COUNT('Метод 2'!$B$40:$G$45)&lt;36,"",SUM('Метод 2'!B43*U31,'Метод 2'!C43*U32,'Метод 2'!D43*U33,'Метод 2'!E43*U34,'Метод 2'!F43*U35,'Метод 2'!G43*U36))</x:f>
        <x:v>21114254234335410</x:v>
      </x:c>
      <x:c r="W34" s="73" t="n">
        <x:f>IF(COUNT(V34)=0,"",SUM('Метод 2'!B43*V31,'Метод 2'!C43*V32,'Метод 2'!D43*V33,'Метод 2'!E43*V34,'Метод 2'!F43*V35,'Метод 2'!G43*V36)/V34)</x:f>
        <x:v>6.127550331823163</x:v>
      </x:c>
      <x:c r="X34" s="73"/>
    </x:row>
    <x:row r="35">
      <x:c r="A35" s="66" t="str">
        <x:v>4–5</x:v>
      </x:c>
      <x:c r="B35" s="66">
        <x:v>1</x:v>
      </x:c>
      <x:c r="C35" s="74" t="n">
        <x:f>IF(COUNT('Метод 2'!$B$40:$G$45)&lt;36,"",SUM('Метод 2'!B44*B31,'Метод 2'!C44*B32,'Метод 2'!D44*B33,'Метод 2'!E44*B34,'Метод 2'!F44*B35,'Метод 2'!G44*B36))</x:f>
        <x:v>9.833333333333332</x:v>
      </x:c>
      <x:c r="D35" s="74" t="n">
        <x:f>IF(COUNT('Метод 2'!$B$40:$G$45)&lt;36,"",SUM('Метод 2'!B44*C31,'Метод 2'!C44*C32,'Метод 2'!D44*C33,'Метод 2'!E44*C34,'Метод 2'!F44*C35,'Метод 2'!G44*C36))</x:f>
        <x:v>58.34523809523809</x:v>
      </x:c>
      <x:c r="E35" s="74" t="n">
        <x:f>IF(COUNT('Метод 2'!$B$40:$G$45)&lt;36,"",SUM('Метод 2'!B44*D31,'Метод 2'!C44*D32,'Метод 2'!D44*D33,'Метод 2'!E44*D34,'Метод 2'!F44*D35,'Метод 2'!G44*D36))</x:f>
        <x:v>354.54047619047617</x:v>
      </x:c>
      <x:c r="F35" s="74" t="n">
        <x:f>IF(COUNT('Метод 2'!$B$40:$G$45)&lt;36,"",SUM('Метод 2'!B44*E31,'Метод 2'!C44*E32,'Метод 2'!D44*E33,'Метод 2'!E44*E34,'Метод 2'!F44*E35,'Метод 2'!G44*E36))</x:f>
        <x:v>2173.604259259259</x:v>
      </x:c>
      <x:c r="G35" s="74" t="n">
        <x:f>IF(COUNT('Метод 2'!$B$40:$G$45)&lt;36,"",SUM('Метод 2'!B44*F31,'Метод 2'!C44*F32,'Метод 2'!D44*F33,'Метод 2'!E44*F34,'Метод 2'!F44*F35,'Метод 2'!G44*F36))</x:f>
        <x:v>13321.061540060466</x:v>
      </x:c>
      <x:c r="H35" s="74" t="n">
        <x:f>IF(COUNT('Метод 2'!$B$40:$G$45)&lt;36,"",SUM('Метод 2'!B44*G31,'Метод 2'!C44*G32,'Метод 2'!D44*G33,'Метод 2'!E44*G34,'Метод 2'!F44*G35,'Метод 2'!G44*G36))</x:f>
        <x:v>81624.74240173848</x:v>
      </x:c>
      <x:c r="I35" s="74" t="n">
        <x:f>IF(COUNT('Метод 2'!$B$40:$G$45)&lt;36,"",SUM('Метод 2'!B44*H31,'Метод 2'!C44*H32,'Метод 2'!D44*H33,'Метод 2'!E44*H34,'Метод 2'!F44*H35,'Метод 2'!G44*H36))</x:f>
        <x:v>500158.19420104753</x:v>
      </x:c>
      <x:c r="J35" s="74" t="n">
        <x:f>IF(COUNT('Метод 2'!$B$40:$G$45)&lt;36,"",SUM('Метод 2'!B44*I31,'Метод 2'!C44*I32,'Метод 2'!D44*I33,'Метод 2'!E44*I34,'Метод 2'!F44*I35,'Метод 2'!G44*I36))</x:f>
        <x:v>3064744.97260274</x:v>
      </x:c>
      <x:c r="K35" s="74" t="n">
        <x:f>IF(COUNT('Метод 2'!$B$40:$G$45)&lt;36,"",SUM('Метод 2'!B44*J31,'Метод 2'!C44*J32,'Метод 2'!D44*J33,'Метод 2'!E44*J34,'Метод 2'!F44*J35,'Метод 2'!G44*J36))</x:f>
        <x:v>18779380.12327548</x:v>
      </x:c>
      <x:c r="L35" s="74" t="n">
        <x:f>IF(COUNT('Метод 2'!$B$40:$G$45)&lt;36,"",SUM('Метод 2'!B44*K31,'Метод 2'!C44*K32,'Метод 2'!D44*K33,'Метод 2'!E44*K34,'Метод 2'!F44*K35,'Метод 2'!G44*K36))</x:f>
        <x:v>115071596.6156591</x:v>
      </x:c>
      <x:c r="M35" s="74" t="n">
        <x:f>IF(COUNT('Метод 2'!$B$40:$G$45)&lt;36,"",SUM('Метод 2'!B44*L31,'Метод 2'!C44*L32,'Метод 2'!D44*L33,'Метод 2'!E44*L34,'Метод 2'!F44*L35,'Метод 2'!G44*L36))</x:f>
        <x:v>705106999.3039855</x:v>
      </x:c>
      <x:c r="N35" s="74" t="n">
        <x:f>IF(COUNT('Метод 2'!$B$40:$G$45)&lt;36,"",SUM('Метод 2'!B44*M31,'Метод 2'!C44*M32,'Метод 2'!D44*M33,'Метод 2'!E44*M34,'Метод 2'!F44*M35,'Метод 2'!G44*M36))</x:f>
        <x:v>4320578627.735697</x:v>
      </x:c>
      <x:c r="O35" s="74" t="n">
        <x:f>IF(COUNT('Метод 2'!$B$40:$G$45)&lt;36,"",SUM('Метод 2'!B44*N31,'Метод 2'!C44*N32,'Метод 2'!D44*N33,'Метод 2'!E44*N34,'Метод 2'!F44*N35,'Метод 2'!G44*N36))</x:f>
        <x:v>26474563004.545753</x:v>
      </x:c>
      <x:c r="P35" s="74" t="n">
        <x:f>IF(COUNT('Метод 2'!$B$40:$G$45)&lt;36,"",SUM('Метод 2'!B44*O31,'Метод 2'!C44*O32,'Метод 2'!D44*O33,'Метод 2'!E44*O34,'Метод 2'!F44*O35,'Метод 2'!G44*O36))</x:f>
        <x:v>162224217323.2675</x:v>
      </x:c>
      <x:c r="Q35" s="74" t="n">
        <x:f>IF(COUNT('Метод 2'!$B$40:$G$45)&lt;36,"",SUM('Метод 2'!B44*P31,'Метод 2'!C44*P32,'Метод 2'!D44*P33,'Метод 2'!E44*P34,'Метод 2'!F44*P35,'Метод 2'!G44*P36))</x:f>
        <x:v>994037056688.6006</x:v>
      </x:c>
      <x:c r="R35" s="74" t="n">
        <x:f>IF(COUNT('Метод 2'!$B$40:$G$45)&lt;36,"",SUM('Метод 2'!B44*Q31,'Метод 2'!C44*Q32,'Метод 2'!D44*Q33,'Метод 2'!E44*Q34,'Метод 2'!F44*Q35,'Метод 2'!G44*Q36))</x:f>
        <x:v>6091012096556.823</x:v>
      </x:c>
      <x:c r="S35" s="74" t="n">
        <x:f>IF(COUNT('Метод 2'!$B$40:$G$45)&lt;36,"",SUM('Метод 2'!B44*R31,'Метод 2'!C44*R32,'Метод 2'!D44*R33,'Метод 2'!E44*R34,'Метод 2'!F44*R35,'Метод 2'!G44*R36))</x:f>
        <x:v>37322983193395.91</x:v>
      </x:c>
      <x:c r="T35" s="74" t="n">
        <x:f>IF(COUNT('Метод 2'!$B$40:$G$45)&lt;36,"",SUM('Метод 2'!B44*S31,'Метод 2'!C44*S32,'Метод 2'!D44*S33,'Метод 2'!E44*S34,'Метод 2'!F44*S35,'Метод 2'!G44*S36))</x:f>
        <x:v>228698458051323.44</x:v>
      </x:c>
      <x:c r="U35" s="74" t="n">
        <x:f>IF(COUNT('Метод 2'!$B$40:$G$45)&lt;36,"",SUM('Метод 2'!B44*T31,'Метод 2'!C44*T32,'Метод 2'!D44*T33,'Метод 2'!E44*T34,'Метод 2'!F44*T35,'Метод 2'!G44*T36))</x:f>
        <x:v>1401361312519833</x:v>
      </x:c>
      <x:c r="V35" s="74" t="n">
        <x:f>IF(COUNT('Метод 2'!$B$40:$G$45)&lt;36,"",SUM('Метод 2'!B44*U31,'Метод 2'!C44*U32,'Метод 2'!D44*U33,'Метод 2'!E44*U34,'Метод 2'!F44*U35,'Метод 2'!G44*U36))</x:f>
        <x:v>8586911975535047</x:v>
      </x:c>
      <x:c r="W35" s="73" t="n">
        <x:f>IF(COUNT(V35)=0,"",SUM('Метод 2'!B44*V31,'Метод 2'!C44*V32,'Метод 2'!D44*V33,'Метод 2'!E44*V34,'Метод 2'!F44*V35,'Метод 2'!G44*V36)/V35)</x:f>
        <x:v>6.127550331823164</x:v>
      </x:c>
      <x:c r="X35" s="73"/>
    </x:row>
    <x:row r="36">
      <x:c r="A36" s="66" t="str">
        <x:v>5–6</x:v>
      </x:c>
      <x:c r="B36" s="66">
        <x:v>1</x:v>
      </x:c>
      <x:c r="C36" s="74" t="n">
        <x:f>IF(COUNT('Метод 2'!$B$40:$G$45)&lt;36,"",SUM('Метод 2'!B45*B31,'Метод 2'!C45*B32,'Метод 2'!D45*B33,'Метод 2'!E45*B34,'Метод 2'!F45*B35,'Метод 2'!G45*B36))</x:f>
        <x:v>2.75</x:v>
      </x:c>
      <x:c r="D36" s="74" t="n">
        <x:f>IF(COUNT('Метод 2'!$B$40:$G$45)&lt;36,"",SUM('Метод 2'!B45*C31,'Метод 2'!C45*C32,'Метод 2'!D45*C33,'Метод 2'!E45*C34,'Метод 2'!F45*C35,'Метод 2'!G45*C36))</x:f>
        <x:v>18.965873015873015</x:v>
      </x:c>
      <x:c r="E36" s="74" t="n">
        <x:f>IF(COUNT('Метод 2'!$B$40:$G$45)&lt;36,"",SUM('Метод 2'!B45*D31,'Метод 2'!C45*D32,'Метод 2'!D45*D33,'Метод 2'!E45*D34,'Метод 2'!F45*D35,'Метод 2'!G45*D36))</x:f>
        <x:v>118.23888888888888</x:v>
      </x:c>
      <x:c r="F36" s="74" t="n">
        <x:f>IF(COUNT('Метод 2'!$B$40:$G$45)&lt;36,"",SUM('Метод 2'!B45*E31,'Метод 2'!C45*E32,'Метод 2'!D45*E33,'Метод 2'!E45*E34,'Метод 2'!F45*E35,'Метод 2'!G45*E36))</x:f>
        <x:v>723.1058201058199</x:v>
      </x:c>
      <x:c r="G36" s="74" t="n">
        <x:f>IF(COUNT('Метод 2'!$B$40:$G$45)&lt;36,"",SUM('Метод 2'!B45*F31,'Метод 2'!C45*F32,'Метод 2'!D45*F33,'Метод 2'!E45*F34,'Метод 2'!F45*F35,'Метод 2'!G45*F36))</x:f>
        <x:v>4429.48450270849</x:v>
      </x:c>
      <x:c r="H36" s="74" t="n">
        <x:f>IF(COUNT('Метод 2'!$B$40:$G$45)&lt;36,"",SUM('Метод 2'!B45*G31,'Метод 2'!C45*G32,'Метод 2'!D45*G33,'Метод 2'!E45*G34,'Метод 2'!F45*G35,'Метод 2'!G45*G36))</x:f>
        <x:v>27142.81260585159</x:v>
      </x:c>
      <x:c r="I36" s="74" t="n">
        <x:f>IF(COUNT('Метод 2'!$B$40:$G$45)&lt;36,"",SUM('Метод 2'!B45*H31,'Метод 2'!C45*H32,'Метод 2'!D45*H33,'Метод 2'!E45*H34,'Метод 2'!F45*H35,'Метод 2'!G45*H36))</x:f>
        <x:v>166319.91181180184</x:v>
      </x:c>
      <x:c r="J36" s="74" t="n">
        <x:f>IF(COUNT('Метод 2'!$B$40:$G$45)&lt;36,"",SUM('Метод 2'!B45*I31,'Метод 2'!C45*I32,'Метод 2'!D45*I33,'Метод 2'!E45*I34,'Метод 2'!F45*I35,'Метод 2'!G45*I36))</x:f>
        <x:v>1019133.0264668292</x:v>
      </x:c>
      <x:c r="K36" s="74" t="n">
        <x:f>IF(COUNT('Метод 2'!$B$40:$G$45)&lt;36,"",SUM('Метод 2'!B45*J31,'Метод 2'!C45*J32,'Метод 2'!D45*J33,'Метод 2'!E45*J34,'Метод 2'!F45*J35,'Метод 2'!G45*J36))</x:f>
        <x:v>6244788.2452133335</x:v>
      </x:c>
      <x:c r="L36" s="74" t="n">
        <x:f>IF(COUNT('Метод 2'!$B$40:$G$45)&lt;36,"",SUM('Метод 2'!B45*K31,'Метод 2'!C45*K32,'Метод 2'!D45*K33,'Метод 2'!E45*K34,'Метод 2'!F45*K35,'Метод 2'!G45*K36))</x:f>
        <x:v>38265254.67893039</x:v>
      </x:c>
      <x:c r="M36" s="74" t="n">
        <x:f>IF(COUNT('Метод 2'!$B$40:$G$45)&lt;36,"",SUM('Метод 2'!B45*L31,'Метод 2'!C45*L32,'Метод 2'!D45*L33,'Метод 2'!E45*L34,'Метод 2'!F45*L35,'Метод 2'!G45*L36))</x:f>
        <x:v>234472274.47059864</x:v>
      </x:c>
      <x:c r="N36" s="74" t="n">
        <x:f>IF(COUNT('Метод 2'!$B$40:$G$45)&lt;36,"",SUM('Метод 2'!B45*M31,'Метод 2'!C45*M32,'Метод 2'!D45*M33,'Метод 2'!E45*M34,'Метод 2'!F45*M35,'Метод 2'!G45*M36))</x:f>
        <x:v>1436740662.9783828</x:v>
      </x:c>
      <x:c r="O36" s="74" t="n">
        <x:f>IF(COUNT('Метод 2'!$B$40:$G$45)&lt;36,"",SUM('Метод 2'!B45*N31,'Метод 2'!C45*N32,'Метод 2'!D45*N33,'Метод 2'!E45*N34,'Метод 2'!F45*N35,'Метод 2'!G45*N36))</x:f>
        <x:v>8803700725.853788</x:v>
      </x:c>
      <x:c r="P36" s="74" t="n">
        <x:f>IF(COUNT('Метод 2'!$B$40:$G$45)&lt;36,"",SUM('Метод 2'!B45*O31,'Метод 2'!C45*O32,'Метод 2'!D45*O33,'Метод 2'!E45*O34,'Метод 2'!F45*O35,'Метод 2'!G45*O36))</x:f>
        <x:v>53945119304.14436</x:v>
      </x:c>
      <x:c r="Q36" s="74" t="n">
        <x:f>IF(COUNT('Метод 2'!$B$40:$G$45)&lt;36,"",SUM('Метод 2'!B45*P31,'Метод 2'!C45*P32,'Метод 2'!D45*P33,'Метод 2'!E45*P34,'Метод 2'!F45*P35,'Метод 2'!G45*P36))</x:f>
        <x:v>330551433692.57416</x:v>
      </x:c>
      <x:c r="R36" s="74" t="n">
        <x:f>IF(COUNT('Метод 2'!$B$40:$G$45)&lt;36,"",SUM('Метод 2'!B45*Q31,'Метод 2'!C45*Q32,'Метод 2'!D45*Q33,'Метод 2'!E45*Q34,'Метод 2'!F45*Q35,'Метод 2'!G45*Q36))</x:f>
        <x:v>2025470547207.4478</x:v>
      </x:c>
      <x:c r="S36" s="74" t="n">
        <x:f>IF(COUNT('Метод 2'!$B$40:$G$45)&lt;36,"",SUM('Метод 2'!B45*R31,'Метод 2'!C45*R32,'Метод 2'!D45*R33,'Метод 2'!E45*R34,'Метод 2'!F45*R35,'Метод 2'!G45*R36))</x:f>
        <x:v>12411172723638.887</x:v>
      </x:c>
      <x:c r="T36" s="74" t="n">
        <x:f>IF(COUNT('Метод 2'!$B$40:$G$45)&lt;36,"",SUM('Метод 2'!B45*S31,'Метод 2'!C45*S32,'Метод 2'!D45*S33,'Метод 2'!E45*S34,'Метод 2'!F45*S35,'Метод 2'!G45*S36))</x:f>
        <x:v>76050085541048.14</x:v>
      </x:c>
      <x:c r="U36" s="74" t="n">
        <x:f>IF(COUNT('Метод 2'!$B$40:$G$45)&lt;36,"",SUM('Метод 2'!B45*T31,'Метод 2'!C45*T32,'Метод 2'!D45*T33,'Метод 2'!E45*T34,'Метод 2'!F45*T35,'Метод 2'!G45*T36))</x:f>
        <x:v>466000726892229.75</x:v>
      </x:c>
      <x:c r="V36" s="74" t="n">
        <x:f>IF(COUNT('Метод 2'!$B$40:$G$45)&lt;36,"",SUM('Метод 2'!B45*U31,'Метод 2'!C45*U32,'Метод 2'!D45*U33,'Метод 2'!E45*U34,'Метод 2'!F45*U35,'Метод 2'!G45*U36))</x:f>
        <x:v>2855442908698318</x:v>
      </x:c>
      <x:c r="W36" s="73" t="n">
        <x:f>IF(COUNT(V36)=0,"",SUM('Метод 2'!B45*V31,'Метод 2'!C45*V32,'Метод 2'!D45*V33,'Метод 2'!E45*V34,'Метод 2'!F45*V35,'Метод 2'!G45*V36)/V36)</x:f>
        <x:v>6.127550331823165</x:v>
      </x:c>
      <x:c r="X36" s="73"/>
    </x:row>
    <x:row r="37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</x:row>
    <x:row r="38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</x:row>
    <x:row r="39">
      <x:c r="A39" s="69" t="str">
        <x:v>Итерации: далеко</x:v>
      </x:c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</x:row>
    <x:row r="40">
      <x:c r="A40" s="71" t="s">
        <x:v>7</x:v>
      </x:c>
      <x:c r="B40" s="71" t="s">
        <x:v>8</x:v>
      </x:c>
      <x:c r="C40" s="71" t="s">
        <x:v>9</x:v>
      </x:c>
      <x:c r="D40" s="71" t="s">
        <x:v>10</x:v>
      </x:c>
      <x:c r="E40" s="71" t="s">
        <x:v>11</x:v>
      </x:c>
      <x:c r="F40" s="71" t="s">
        <x:v>12</x:v>
      </x:c>
      <x:c r="G40" s="71" t="s">
        <x:v>13</x:v>
      </x:c>
      <x:c r="H40" s="71" t="s">
        <x:v>14</x:v>
      </x:c>
      <x:c r="I40" s="71" t="s">
        <x:v>15</x:v>
      </x:c>
      <x:c r="J40" s="71" t="s">
        <x:v>16</x:v>
      </x:c>
      <x:c r="K40" s="71" t="s">
        <x:v>17</x:v>
      </x:c>
      <x:c r="L40" s="71" t="s">
        <x:v>18</x:v>
      </x:c>
      <x:c r="M40" s="71" t="s">
        <x:v>19</x:v>
      </x:c>
      <x:c r="N40" s="71" t="s">
        <x:v>20</x:v>
      </x:c>
      <x:c r="O40" s="71" t="s">
        <x:v>21</x:v>
      </x:c>
      <x:c r="P40" s="71" t="s">
        <x:v>22</x:v>
      </x:c>
      <x:c r="Q40" s="71" t="s">
        <x:v>23</x:v>
      </x:c>
      <x:c r="R40" s="71" t="s">
        <x:v>24</x:v>
      </x:c>
      <x:c r="S40" s="71" t="s">
        <x:v>25</x:v>
      </x:c>
      <x:c r="T40" s="71" t="s">
        <x:v>26</x:v>
      </x:c>
      <x:c r="U40" s="71" t="s">
        <x:v>27</x:v>
      </x:c>
      <x:c r="V40" s="71" t="s">
        <x:v>28</x:v>
      </x:c>
      <x:c r="W40" s="71" t="s">
        <x:v>29</x:v>
      </x:c>
      <x:c r="X40" s="71" t="s">
        <x:v>30</x:v>
      </x:c>
    </x:row>
    <x:row r="41">
      <x:c r="A41" s="66" t="str">
        <x:v>0–1</x:v>
      </x:c>
      <x:c r="B41" s="66">
        <x:v>1</x:v>
      </x:c>
      <x:c r="C41" s="74" t="n">
        <x:f>IF(COUNT('Метод 2'!$B$52:$G$57)&lt;36,"",SUM('Метод 2'!B52*B41,'Метод 2'!C52*B42,'Метод 2'!D52*B43,'Метод 2'!E52*B44,'Метод 2'!F52*B45,'Метод 2'!G52*B46))</x:f>
        <x:v>2.287301587301587</x:v>
      </x:c>
      <x:c r="D41" s="74" t="n">
        <x:f>IF(COUNT('Метод 2'!$B$52:$G$57)&lt;36,"",SUM('Метод 2'!B52*C41,'Метод 2'!C52*C42,'Метод 2'!D52*C43,'Метод 2'!E52*C44,'Метод 2'!F52*C45,'Метод 2'!G52*C46))</x:f>
        <x:v>15.31051587301587</x:v>
      </x:c>
      <x:c r="E41" s="74" t="n">
        <x:f>IF(COUNT('Метод 2'!$B$52:$G$57)&lt;36,"",SUM('Метод 2'!B52*D41,'Метод 2'!C52*D42,'Метод 2'!D52*D43,'Метод 2'!E52*D44,'Метод 2'!F52*D45,'Метод 2'!G52*D46))</x:f>
        <x:v>95.25935846560846</x:v>
      </x:c>
      <x:c r="F41" s="74" t="n">
        <x:f>IF(COUNT('Метод 2'!$B$52:$G$57)&lt;36,"",SUM('Метод 2'!B52*E41,'Метод 2'!C52*E42,'Метод 2'!D52*E43,'Метод 2'!E52*E44,'Метод 2'!F52*E45,'Метод 2'!G52*E46))</x:f>
        <x:v>580.1990797430083</x:v>
      </x:c>
      <x:c r="G41" s="74" t="n">
        <x:f>IF(COUNT('Метод 2'!$B$52:$G$57)&lt;36,"",SUM('Метод 2'!B52*F41,'Метод 2'!C52*F42,'Метод 2'!D52*F43,'Метод 2'!E52*F44,'Метод 2'!F52*F45,'Метод 2'!G52*F46))</x:f>
        <x:v>3537.5025208779493</x:v>
      </x:c>
      <x:c r="H41" s="74" t="n">
        <x:f>IF(COUNT('Метод 2'!$B$52:$G$57)&lt;36,"",SUM('Метод 2'!B52*G41,'Метод 2'!C52*G42,'Метод 2'!D52*G43,'Метод 2'!E52*G44,'Метод 2'!F52*G45,'Метод 2'!G52*G46))</x:f>
        <x:v>21575.538976179974</x:v>
      </x:c>
      <x:c r="I41" s="74" t="n">
        <x:f>IF(COUNT('Метод 2'!$B$52:$G$57)&lt;36,"",SUM('Метод 2'!B52*H41,'Метод 2'!C52*H42,'Метод 2'!D52*H43,'Метод 2'!E52*H44,'Метод 2'!F52*H45,'Метод 2'!G52*H46))</x:f>
        <x:v>131588.88984289492</x:v>
      </x:c>
      <x:c r="J41" s="74" t="n">
        <x:f>IF(COUNT('Метод 2'!$B$52:$G$57)&lt;36,"",SUM('Метод 2'!B52*I41,'Метод 2'!C52*I42,'Метод 2'!D52*I43,'Метод 2'!E52*I44,'Метод 2'!F52*I45,'Метод 2'!G52*I46))</x:f>
        <x:v>802554.4395884026</x:v>
      </x:c>
      <x:c r="K41" s="74" t="n">
        <x:f>IF(COUNT('Метод 2'!$B$52:$G$57)&lt;36,"",SUM('Метод 2'!B52*J41,'Метод 2'!C52*J42,'Метод 2'!D52*J43,'Метод 2'!E52*J44,'Метод 2'!F52*J45,'Метод 2'!G52*J46))</x:f>
        <x:v>4894743.055784758</x:v>
      </x:c>
      <x:c r="L41" s="74" t="n">
        <x:f>IF(COUNT('Метод 2'!$B$52:$G$57)&lt;36,"",SUM('Метод 2'!B52*K41,'Метод 2'!C52*K42,'Метод 2'!D52*K43,'Метод 2'!E52*K44,'Метод 2'!F52*K45,'Метод 2'!G52*K46))</x:f>
        <x:v>29852817.94508286</x:v>
      </x:c>
      <x:c r="M41" s="74" t="n">
        <x:f>IF(COUNT('Метод 2'!$B$52:$G$57)&lt;36,"",SUM('Метод 2'!B52*L41,'Метод 2'!C52*L42,'Метод 2'!D52*L43,'Метод 2'!E52*L44,'Метод 2'!F52*L45,'Метод 2'!G52*L46))</x:f>
        <x:v>182070994.36089274</x:v>
      </x:c>
      <x:c r="N41" s="74" t="n">
        <x:f>IF(COUNT('Метод 2'!$B$52:$G$57)&lt;36,"",SUM('Метод 2'!B52*M41,'Метод 2'!C52*M42,'Метод 2'!D52*M43,'Метод 2'!E52*M44,'Метод 2'!F52*M45,'Метод 2'!G52*M46))</x:f>
        <x:v>1110442806.6062312</x:v>
      </x:c>
      <x:c r="O41" s="74" t="n">
        <x:f>IF(COUNT('Метод 2'!$B$52:$G$57)&lt;36,"",SUM('Метод 2'!B52*N41,'Метод 2'!C52*N42,'Метод 2'!D52*N43,'Метод 2'!E52*N44,'Метод 2'!F52*N45,'Метод 2'!G52*N46))</x:f>
        <x:v>6772540739.729364</x:v>
      </x:c>
      <x:c r="P41" s="74" t="n">
        <x:f>IF(COUNT('Метод 2'!$B$52:$G$57)&lt;36,"",SUM('Метод 2'!B52*O41,'Метод 2'!C52*O42,'Метод 2'!D52*O43,'Метод 2'!E52*O44,'Метод 2'!F52*O45,'Метод 2'!G52*O46))</x:f>
        <x:v>41305421404.29985</x:v>
      </x:c>
      <x:c r="Q41" s="74" t="n">
        <x:f>IF(COUNT('Метод 2'!$B$52:$G$57)&lt;36,"",SUM('Метод 2'!B52*P41,'Метод 2'!C52*P42,'Метод 2'!D52*P43,'Метод 2'!E52*P44,'Метод 2'!F52*P45,'Метод 2'!G52*P46))</x:f>
        <x:v>251919907602.2072</x:v>
      </x:c>
      <x:c r="R41" s="74" t="n">
        <x:f>IF(COUNT('Метод 2'!$B$52:$G$57)&lt;36,"",SUM('Метод 2'!B52*Q41,'Метод 2'!C52*Q42,'Метод 2'!D52*Q43,'Метод 2'!E52*Q44,'Метод 2'!F52*Q45,'Метод 2'!G52*Q46))</x:f>
        <x:v>1536448187396.4707</x:v>
      </x:c>
      <x:c r="S41" s="74" t="n">
        <x:f>IF(COUNT('Метод 2'!$B$52:$G$57)&lt;36,"",SUM('Метод 2'!B52*R41,'Метод 2'!C52*R42,'Метод 2'!D52*R43,'Метод 2'!E52*R44,'Метод 2'!F52*R45,'Метод 2'!G52*R46))</x:f>
        <x:v>9370728399446.516</x:v>
      </x:c>
      <x:c r="T41" s="74" t="n">
        <x:f>IF(COUNT('Метод 2'!$B$52:$G$57)&lt;36,"",SUM('Метод 2'!B52*S41,'Метод 2'!C52*S42,'Метод 2'!D52*S43,'Метод 2'!E52*S44,'Метод 2'!F52*S45,'Метод 2'!G52*S46))</x:f>
        <x:v>57151651097971.54</x:v>
      </x:c>
      <x:c r="U41" s="74" t="n">
        <x:f>IF(COUNT('Метод 2'!$B$52:$G$57)&lt;36,"",SUM('Метод 2'!B52*T41,'Метод 2'!C52*T42,'Метод 2'!D52*T43,'Метод 2'!E52*T44,'Метод 2'!F52*T45,'Метод 2'!G52*T46))</x:f>
        <x:v>348565349884348</x:v>
      </x:c>
      <x:c r="V41" s="74" t="n">
        <x:f>IF(COUNT('Метод 2'!$B$52:$G$57)&lt;36,"",SUM('Метод 2'!B52*U41,'Метод 2'!C52*U42,'Метод 2'!D52*U43,'Метод 2'!E52*U44,'Метод 2'!F52*U45,'Метод 2'!G52*U46))</x:f>
        <x:v>2125884393641082</x:v>
      </x:c>
      <x:c r="W41" s="73" t="n">
        <x:f>IF(COUNT(V41)=0,"",SUM('Метод 2'!B52*V41,'Метод 2'!C52*V42,'Метод 2'!D52*V43,'Метод 2'!E52*V44,'Метод 2'!F52*V45,'Метод 2'!G52*V46)/V41)</x:f>
        <x:v>6.098955029082608</x:v>
      </x:c>
      <x:c r="X41" s="73" t="n">
        <x:f>IF(COUNT(W41:W46)&lt;6,"",AVERAGE(W41:W46))</x:f>
        <x:v>6.098955029082606</x:v>
      </x:c>
    </x:row>
    <x:row r="42">
      <x:c r="A42" s="66" t="str">
        <x:v>1–2</x:v>
      </x:c>
      <x:c r="B42" s="66">
        <x:v>1</x:v>
      </x:c>
      <x:c r="C42" s="74" t="n">
        <x:f>IF(COUNT('Метод 2'!$B$52:$G$57)&lt;36,"",SUM('Метод 2'!B53*B41,'Метод 2'!C53*B42,'Метод 2'!D53*B43,'Метод 2'!E53*B44,'Метод 2'!F53*B45,'Метод 2'!G53*B46))</x:f>
        <x:v>4.041666666666666</x:v>
      </x:c>
      <x:c r="D42" s="74" t="n">
        <x:f>IF(COUNT('Метод 2'!$B$52:$G$57)&lt;36,"",SUM('Метод 2'!B53*C41,'Метод 2'!C53*C42,'Метод 2'!D53*C43,'Метод 2'!E53*C44,'Метод 2'!F53*C45,'Метод 2'!G53*C46))</x:f>
        <x:v>22.30376984126984</x:v>
      </x:c>
      <x:c r="E42" s="74" t="n">
        <x:f>IF(COUNT('Метод 2'!$B$52:$G$57)&lt;36,"",SUM('Метод 2'!B53*D41,'Метод 2'!C53*D42,'Метод 2'!D53*D43,'Метод 2'!E53*D44,'Метод 2'!F53*D45,'Метод 2'!G53*D46))</x:f>
        <x:v>137.8107804232804</x:v>
      </x:c>
      <x:c r="F42" s="74" t="n">
        <x:f>IF(COUNT('Метод 2'!$B$52:$G$57)&lt;36,"",SUM('Метод 2'!B53*E41,'Метод 2'!C53*E42,'Метод 2'!D53*E43,'Метод 2'!E53*E44,'Метод 2'!F53*E45,'Метод 2'!G53*E46))</x:f>
        <x:v>841.8119791666666</x:v>
      </x:c>
      <x:c r="G42" s="74" t="n">
        <x:f>IF(COUNT('Метод 2'!$B$52:$G$57)&lt;36,"",SUM('Метод 2'!B53*F41,'Метод 2'!C53*F42,'Метод 2'!D53*F43,'Метод 2'!E53*F44,'Метод 2'!F53*F45,'Метод 2'!G53*F46))</x:f>
        <x:v>5133.118411359914</x:v>
      </x:c>
      <x:c r="H42" s="74" t="n">
        <x:f>IF(COUNT('Метод 2'!$B$52:$G$57)&lt;36,"",SUM('Метод 2'!B53*G41,'Метод 2'!C53*G42,'Метод 2'!D53*G43,'Метод 2'!E53*G44,'Метод 2'!F53*G45,'Метод 2'!G53*G46))</x:f>
        <x:v>31305.893927160752</x:v>
      </x:c>
      <x:c r="I42" s="74" t="n">
        <x:f>IF(COUNT('Метод 2'!$B$52:$G$57)&lt;36,"",SUM('Метод 2'!B53*H41,'Метод 2'!C53*H42,'Метод 2'!D53*H43,'Метод 2'!E53*H44,'Метод 2'!F53*H45,'Метод 2'!G53*H46))</x:f>
        <x:v>190933.86659901726</x:v>
      </x:c>
      <x:c r="J42" s="74" t="n">
        <x:f>IF(COUNT('Метод 2'!$B$52:$G$57)&lt;36,"",SUM('Метод 2'!B53*I41,'Метод 2'!C53*I42,'Метод 2'!D53*I43,'Метод 2'!E53*I44,'Метод 2'!F53*I45,'Метод 2'!G53*I46))</x:f>
        <x:v>1164497.5116426435</x:v>
      </x:c>
      <x:c r="K42" s="74" t="n">
        <x:f>IF(COUNT('Метод 2'!$B$52:$G$57)&lt;36,"",SUM('Метод 2'!B53*J41,'Метод 2'!C53*J42,'Метод 2'!D53*J43,'Метод 2'!E53*J44,'Метод 2'!F53*J45,'Метод 2'!G53*J46))</x:f>
        <x:v>7102217.581975498</x:v>
      </x:c>
      <x:c r="L42" s="74" t="n">
        <x:f>IF(COUNT('Метод 2'!$B$52:$G$57)&lt;36,"",SUM('Метод 2'!B53*K41,'Метод 2'!C53*K42,'Метод 2'!D53*K43,'Метод 2'!E53*K44,'Метод 2'!F53*K45,'Метод 2'!G53*K46))</x:f>
        <x:v>43316105.379380874</x:v>
      </x:c>
      <x:c r="M42" s="74" t="n">
        <x:f>IF(COUNT('Метод 2'!$B$52:$G$57)&lt;36,"",SUM('Метод 2'!B53*L41,'Метод 2'!C53*L42,'Метод 2'!D53*L43,'Метод 2'!E53*L44,'Метод 2'!F53*L45,'Метод 2'!G53*L46))</x:f>
        <x:v>264182978.9655802</x:v>
      </x:c>
      <x:c r="N42" s="74" t="n">
        <x:f>IF(COUNT('Метод 2'!$B$52:$G$57)&lt;36,"",SUM('Метод 2'!B53*M41,'Метод 2'!C53*M42,'Метод 2'!D53*M43,'Метод 2'!E53*M44,'Метод 2'!F53*M45,'Метод 2'!G53*M46))</x:f>
        <x:v>1611240108.3116024</x:v>
      </x:c>
      <x:c r="O42" s="74" t="n">
        <x:f>IF(COUNT('Метод 2'!$B$52:$G$57)&lt;36,"",SUM('Метод 2'!B53*N41,'Метод 2'!C53*N42,'Метод 2'!D53*N43,'Метод 2'!E53*N44,'Метод 2'!F53*N45,'Метод 2'!G53*N46))</x:f>
        <x:v>9826880961.514864</x:v>
      </x:c>
      <x:c r="P42" s="74" t="n">
        <x:f>IF(COUNT('Метод 2'!$B$52:$G$57)&lt;36,"",SUM('Метод 2'!B53*O41,'Метод 2'!C53*O42,'Метод 2'!D53*O43,'Метод 2'!E53*O44,'Метод 2'!F53*O45,'Метод 2'!G53*O46))</x:f>
        <x:v>59933705060.33895</x:v>
      </x:c>
      <x:c r="Q42" s="74" t="n">
        <x:f>IF(COUNT('Метод 2'!$B$52:$G$57)&lt;36,"",SUM('Метод 2'!B53*P41,'Метод 2'!C53*P42,'Метод 2'!D53*P43,'Метод 2'!E53*P44,'Метод 2'!F53*P45,'Метод 2'!G53*P46))</x:f>
        <x:v>365532971889.38617</x:v>
      </x:c>
      <x:c r="R42" s="74" t="n">
        <x:f>IF(COUNT('Метод 2'!$B$52:$G$57)&lt;36,"",SUM('Метод 2'!B53*Q41,'Метод 2'!C53*Q42,'Метод 2'!D53*Q43,'Метод 2'!E53*Q44,'Метод 2'!F53*Q45,'Метод 2'!G53*Q46))</x:f>
        <x:v>2229369157200.3335</x:v>
      </x:c>
      <x:c r="S42" s="74" t="n">
        <x:f>IF(COUNT('Метод 2'!$B$52:$G$57)&lt;36,"",SUM('Метод 2'!B53*R41,'Метод 2'!C53*R42,'Метод 2'!D53*R43,'Метод 2'!E53*R44,'Метод 2'!F53*R45,'Метод 2'!G53*R46))</x:f>
        <x:v>13596822232988.58</x:v>
      </x:c>
      <x:c r="T42" s="74" t="n">
        <x:f>IF(COUNT('Метод 2'!$B$52:$G$57)&lt;36,"",SUM('Метод 2'!B53*S41,'Метод 2'!C53*S42,'Метод 2'!D53*S43,'Метод 2'!E53*S44,'Метод 2'!F53*S45,'Метод 2'!G53*S46))</x:f>
        <x:v>82926407337427.86</x:v>
      </x:c>
      <x:c r="U42" s="74" t="n">
        <x:f>IF(COUNT('Метод 2'!$B$52:$G$57)&lt;36,"",SUM('Метод 2'!B53*T41,'Метод 2'!C53*T42,'Метод 2'!D53*T43,'Метод 2'!E53*T44,'Метод 2'!F53*T45,'Метод 2'!G53*T46))</x:f>
        <x:v>505764429074358.4</x:v>
      </x:c>
      <x:c r="V42" s="74" t="n">
        <x:f>IF(COUNT('Метод 2'!$B$52:$G$57)&lt;36,"",SUM('Метод 2'!B53*U41,'Метод 2'!C53*U42,'Метод 2'!D53*U43,'Метод 2'!E53*U44,'Метод 2'!F53*U45,'Метод 2'!G53*U46))</x:f>
        <x:v>3084634508234151</x:v>
      </x:c>
      <x:c r="W42" s="73" t="n">
        <x:f>IF(COUNT(V42)=0,"",SUM('Метод 2'!B53*V41,'Метод 2'!C53*V42,'Метод 2'!D53*V43,'Метод 2'!E53*V44,'Метод 2'!F53*V45,'Метод 2'!G53*V46)/V42)</x:f>
        <x:v>6.098955029082605</x:v>
      </x:c>
      <x:c r="X42" s="73" t="n">
        <x:f>IF(COUNT(X41)=0,"",X41-6)</x:f>
        <x:v>0.09895502908260578</x:v>
      </x:c>
    </x:row>
    <x:row r="43">
      <x:c r="A43" s="66" t="str">
        <x:v>2–3</x:v>
      </x:c>
      <x:c r="B43" s="66">
        <x:v>1</x:v>
      </x:c>
      <x:c r="C43" s="74" t="n">
        <x:f>IF(COUNT('Метод 2'!$B$52:$G$57)&lt;36,"",SUM('Метод 2'!B54*B41,'Метод 2'!C54*B42,'Метод 2'!D54*B43,'Метод 2'!E54*B44,'Метод 2'!F54*B45,'Метод 2'!G54*B46))</x:f>
        <x:v>7</x:v>
      </x:c>
      <x:c r="D43" s="74" t="n">
        <x:f>IF(COUNT('Метод 2'!$B$52:$G$57)&lt;36,"",SUM('Метод 2'!B54*C41,'Метод 2'!C54*C42,'Метод 2'!D54*C43,'Метод 2'!E54*C44,'Метод 2'!F54*C45,'Метод 2'!G54*C46))</x:f>
        <x:v>39.820238095238096</x:v>
      </x:c>
      <x:c r="E43" s="74" t="n">
        <x:f>IF(COUNT('Метод 2'!$B$52:$G$57)&lt;36,"",SUM('Метод 2'!B54*D41,'Метод 2'!C54*D42,'Метод 2'!D54*D43,'Метод 2'!E54*D44,'Метод 2'!F54*D45,'Метод 2'!G54*D46))</x:f>
        <x:v>242.4011243386243</x:v>
      </x:c>
      <x:c r="F43" s="74" t="n">
        <x:f>IF(COUNT('Метод 2'!$B$52:$G$57)&lt;36,"",SUM('Метод 2'!B54*E41,'Метод 2'!C54*E42,'Метод 2'!D54*E43,'Метод 2'!E54*E44,'Метод 2'!F54*E45,'Метод 2'!G54*E46))</x:f>
        <x:v>1480.114583333333</x:v>
      </x:c>
      <x:c r="G43" s="74" t="n">
        <x:f>IF(COUNT('Метод 2'!$B$52:$G$57)&lt;36,"",SUM('Метод 2'!B54*F41,'Метод 2'!C54*F42,'Метод 2'!D54*F43,'Метод 2'!E54*F44,'Метод 2'!F54*F45,'Метод 2'!G54*F46))</x:f>
        <x:v>9027.414261385107</x:v>
      </x:c>
      <x:c r="H43" s="74" t="n">
        <x:f>IF(COUNT('Метод 2'!$B$52:$G$57)&lt;36,"",SUM('Метод 2'!B54*G41,'Метод 2'!C54*G42,'Метод 2'!D54*G43,'Метод 2'!E54*G44,'Метод 2'!F54*G45,'Метод 2'!G54*G46))</x:f>
        <x:v>55056.77685531619</x:v>
      </x:c>
      <x:c r="I43" s="74" t="n">
        <x:f>IF(COUNT('Метод 2'!$B$52:$G$57)&lt;36,"",SUM('Метод 2'!B54*H41,'Метод 2'!C54*H42,'Метод 2'!D54*H43,'Метод 2'!E54*H44,'Метод 2'!F54*H45,'Метод 2'!G54*H46))</x:f>
        <x:v>335788.6593091686</x:v>
      </x:c>
      <x:c r="J43" s="74" t="n">
        <x:f>IF(COUNT('Метод 2'!$B$52:$G$57)&lt;36,"",SUM('Метод 2'!B54*I41,'Метод 2'!C54*I42,'Метод 2'!D54*I43,'Метод 2'!E54*I44,'Метод 2'!F54*I45,'Метод 2'!G54*I46))</x:f>
        <x:v>2047960.532610339</x:v>
      </x:c>
      <x:c r="K43" s="74" t="n">
        <x:f>IF(COUNT('Метод 2'!$B$52:$G$57)&lt;36,"",SUM('Метод 2'!B54*J41,'Метод 2'!C54*J42,'Метод 2'!D54*J43,'Метод 2'!E54*J44,'Метод 2'!F54*J45,'Метод 2'!G54*J46))</x:f>
        <x:v>12490419.271725714</x:v>
      </x:c>
      <x:c r="L43" s="74" t="n">
        <x:f>IF(COUNT('Метод 2'!$B$52:$G$57)&lt;36,"",SUM('Метод 2'!B54*K41,'Метод 2'!C54*K42,'Метод 2'!D54*K43,'Метод 2'!E54*K44,'Метод 2'!F54*K45,'Метод 2'!G54*K46))</x:f>
        <x:v>76178505.07836704</x:v>
      </x:c>
      <x:c r="M43" s="74" t="n">
        <x:f>IF(COUNT('Метод 2'!$B$52:$G$57)&lt;36,"",SUM('Метод 2'!B54*L41,'Метод 2'!C54*L42,'Метод 2'!D54*L43,'Метод 2'!E54*L44,'Метод 2'!F54*L45,'Метод 2'!G54*L46))</x:f>
        <x:v>464609276.6100337</x:v>
      </x:c>
      <x:c r="N43" s="74" t="n">
        <x:f>IF(COUNT('Метод 2'!$B$52:$G$57)&lt;36,"",SUM('Метод 2'!B54*M41,'Метод 2'!C54*M42,'Метод 2'!D54*M43,'Метод 2'!E54*M44,'Метод 2'!F54*M45,'Метод 2'!G54*M46))</x:f>
        <x:v>2833631084.348288</x:v>
      </x:c>
      <x:c r="O43" s="74" t="n">
        <x:f>IF(COUNT('Метод 2'!$B$52:$G$57)&lt;36,"",SUM('Метод 2'!B54*N41,'Метод 2'!C54*N42,'Метод 2'!D54*N43,'Метод 2'!E54*N44,'Метод 2'!F54*N45,'Метод 2'!G54*N46))</x:f>
        <x:v>17282188552.476135</x:v>
      </x:c>
      <x:c r="P43" s="74" t="n">
        <x:f>IF(COUNT('Метод 2'!$B$52:$G$57)&lt;36,"",SUM('Метод 2'!B54*O41,'Метод 2'!C54*O42,'Метод 2'!D54*O43,'Метод 2'!E54*O44,'Метод 2'!F54*O45,'Метод 2'!G54*O46))</x:f>
        <x:v>105403290785.55478</x:v>
      </x:c>
      <x:c r="Q43" s="74" t="n">
        <x:f>IF(COUNT('Метод 2'!$B$52:$G$57)&lt;36,"",SUM('Метод 2'!B54*P41,'Метод 2'!C54*P42,'Метод 2'!D54*P43,'Метод 2'!E54*P44,'Метод 2'!F54*P45,'Метод 2'!G54*P46))</x:f>
        <x:v>642849930418.4015</x:v>
      </x:c>
      <x:c r="R43" s="74" t="n">
        <x:f>IF(COUNT('Метод 2'!$B$52:$G$57)&lt;36,"",SUM('Метод 2'!B54*Q41,'Метод 2'!C54*Q42,'Метод 2'!D54*Q43,'Метод 2'!E54*Q44,'Метод 2'!F54*Q45,'Метод 2'!G54*Q46))</x:f>
        <x:v>3920712816070.786</x:v>
      </x:c>
      <x:c r="S43" s="74" t="n">
        <x:f>IF(COUNT('Метод 2'!$B$52:$G$57)&lt;36,"",SUM('Метод 2'!B54*R41,'Метод 2'!C54*R42,'Метод 2'!D54*R43,'Метод 2'!E54*R44,'Метод 2'!F54*R45,'Метод 2'!G54*R46))</x:f>
        <x:v>23912251147163.555</x:v>
      </x:c>
      <x:c r="T43" s="74" t="n">
        <x:f>IF(COUNT('Метод 2'!$B$52:$G$57)&lt;36,"",SUM('Метод 2'!B54*S41,'Метод 2'!C54*S42,'Метод 2'!D54*S43,'Метод 2'!E54*S44,'Метод 2'!F54*S45,'Метод 2'!G54*S46))</x:f>
        <x:v>145839744390679.44</x:v>
      </x:c>
      <x:c r="U43" s="74" t="n">
        <x:f>IF(COUNT('Метод 2'!$B$52:$G$57)&lt;36,"",SUM('Метод 2'!B54*T41,'Метод 2'!C54*T42,'Метод 2'!D54*T43,'Метод 2'!E54*T44,'Метод 2'!F54*T45,'Метод 2'!G54*T46))</x:f>
        <x:v>889470042491656.1</x:v>
      </x:c>
      <x:c r="V43" s="74" t="n">
        <x:f>IF(COUNT('Метод 2'!$B$52:$G$57)&lt;36,"",SUM('Метод 2'!B54*U41,'Метод 2'!C54*U42,'Метод 2'!D54*U43,'Метод 2'!E54*U44,'Метод 2'!F54*U45,'Метод 2'!G54*U46))</x:f>
        <x:v>5424837788872806</x:v>
      </x:c>
      <x:c r="W43" s="73" t="n">
        <x:f>IF(COUNT(V43)=0,"",SUM('Метод 2'!B54*V41,'Метод 2'!C54*V42,'Метод 2'!D54*V43,'Метод 2'!E54*V44,'Метод 2'!F54*V45,'Метод 2'!G54*V46)/V43)</x:f>
        <x:v>6.098955029082604</x:v>
      </x:c>
      <x:c r="X43" s="73"/>
    </x:row>
    <x:row r="44">
      <x:c r="A44" s="66" t="str">
        <x:v>3–4</x:v>
      </x:c>
      <x:c r="B44" s="66">
        <x:v>1</x:v>
      </x:c>
      <x:c r="C44" s="74" t="n">
        <x:f>IF(COUNT('Метод 2'!$B$52:$G$57)&lt;36,"",SUM('Метод 2'!B55*B41,'Метод 2'!C55*B42,'Метод 2'!D55*B43,'Метод 2'!E55*B44,'Метод 2'!F55*B45,'Метод 2'!G55*B46))</x:f>
        <x:v>12.75</x:v>
      </x:c>
      <x:c r="D44" s="74" t="n">
        <x:f>IF(COUNT('Метод 2'!$B$52:$G$57)&lt;36,"",SUM('Метод 2'!B55*C41,'Метод 2'!C55*C42,'Метод 2'!D55*C43,'Метод 2'!E55*C44,'Метод 2'!F55*C45,'Метод 2'!G55*C46))</x:f>
        <x:v>71.60317460317461</x:v>
      </x:c>
      <x:c r="E44" s="74" t="n">
        <x:f>IF(COUNT('Метод 2'!$B$52:$G$57)&lt;36,"",SUM('Метод 2'!B55*D41,'Метод 2'!C55*D42,'Метод 2'!D55*D43,'Метод 2'!E55*D44,'Метод 2'!F55*D45,'Метод 2'!G55*D46))</x:f>
        <x:v>431.3716269841269</x:v>
      </x:c>
      <x:c r="F44" s="74" t="n">
        <x:f>IF(COUNT('Метод 2'!$B$52:$G$57)&lt;36,"",SUM('Метод 2'!B55*E41,'Метод 2'!C55*E42,'Метод 2'!D55*E43,'Метод 2'!E55*E44,'Метод 2'!F55*E45,'Метод 2'!G55*E46))</x:f>
        <x:v>2634.655803571428</x:v>
      </x:c>
      <x:c r="G44" s="74" t="n">
        <x:f>IF(COUNT('Метод 2'!$B$52:$G$57)&lt;36,"",SUM('Метод 2'!B55*F41,'Метод 2'!C55*F42,'Метод 2'!D55*F43,'Метод 2'!E55*F44,'Метод 2'!F55*F45,'Метод 2'!G55*F46))</x:f>
        <x:v>16071.754153675356</x:v>
      </x:c>
      <x:c r="H44" s="74" t="n">
        <x:f>IF(COUNT('Метод 2'!$B$52:$G$57)&lt;36,"",SUM('Метод 2'!B55*G41,'Метод 2'!C55*G42,'Метод 2'!D55*G43,'Метод 2'!E55*G44,'Метод 2'!F55*G45,'Метод 2'!G55*G46))</x:f>
        <x:v>98018.68062388457</x:v>
      </x:c>
      <x:c r="I44" s="74" t="n">
        <x:f>IF(COUNT('Метод 2'!$B$52:$G$57)&lt;36,"",SUM('Метод 2'!B55*H41,'Метод 2'!C55*H42,'Метод 2'!D55*H43,'Метод 2'!E55*H44,'Метод 2'!F55*H45,'Метод 2'!G55*H46))</x:f>
        <x:v>597809.7109626329</x:v>
      </x:c>
      <x:c r="J44" s="74" t="n">
        <x:f>IF(COUNT('Метод 2'!$B$52:$G$57)&lt;36,"",SUM('Метод 2'!B55*I41,'Метод 2'!C55*I42,'Метод 2'!D55*I43,'Метод 2'!E55*I44,'Метод 2'!F55*I45,'Метод 2'!G55*I46))</x:f>
        <x:v>3646015.867831216</x:v>
      </x:c>
      <x:c r="K44" s="74" t="n">
        <x:f>IF(COUNT('Метод 2'!$B$52:$G$57)&lt;36,"",SUM('Метод 2'!B55*J41,'Метод 2'!C55*J42,'Метод 2'!D55*J43,'Метод 2'!E55*J44,'Метод 2'!F55*J45,'Метод 2'!G55*J46))</x:f>
        <x:v>22236887.87228839</x:v>
      </x:c>
      <x:c r="L44" s="74" t="n">
        <x:f>IF(COUNT('Метод 2'!$B$52:$G$57)&lt;36,"",SUM('Метод 2'!B55*K41,'Метод 2'!C55*K42,'Метод 2'!D55*K43,'Метод 2'!E55*K44,'Метод 2'!F55*K45,'Метод 2'!G55*K46))</x:f>
        <x:v>135621778.33135343</x:v>
      </x:c>
      <x:c r="M44" s="74" t="n">
        <x:f>IF(COUNT('Метод 2'!$B$52:$G$57)&lt;36,"",SUM('Метод 2'!B55*L41,'Метод 2'!C55*L42,'Метод 2'!D55*L43,'Метод 2'!E55*L44,'Метод 2'!F55*L45,'Метод 2'!G55*L46))</x:f>
        <x:v>827151126.3889948</x:v>
      </x:c>
      <x:c r="N44" s="74" t="n">
        <x:f>IF(COUNT('Метод 2'!$B$52:$G$57)&lt;36,"",SUM('Метод 2'!B55*M41,'Метод 2'!C55*M42,'Метод 2'!D55*M43,'Метод 2'!E55*M44,'Метод 2'!F55*M45,'Метод 2'!G55*M46))</x:f>
        <x:v>5044757522.570724</x:v>
      </x:c>
      <x:c r="O44" s="74" t="n">
        <x:f>IF(COUNT('Метод 2'!$B$52:$G$57)&lt;36,"",SUM('Метод 2'!B55*N41,'Метод 2'!C55*N42,'Метод 2'!D55*N43,'Метод 2'!E55*N44,'Метод 2'!F55*N45,'Метод 2'!G55*N46))</x:f>
        <x:v>30767749263.145744</x:v>
      </x:c>
      <x:c r="P44" s="74" t="n">
        <x:f>IF(COUNT('Метод 2'!$B$52:$G$57)&lt;36,"",SUM('Метод 2'!B55*O41,'Метод 2'!C55*O42,'Метод 2'!D55*O43,'Метод 2'!E55*O44,'Метод 2'!F55*O45,'Метод 2'!G55*O46))</x:f>
        <x:v>187651119101.7362</x:v>
      </x:c>
      <x:c r="Q44" s="74" t="n">
        <x:f>IF(COUNT('Метод 2'!$B$52:$G$57)&lt;36,"",SUM('Метод 2'!B55*P41,'Метод 2'!C55*P42,'Метод 2'!D55*P43,'Метод 2'!E55*P44,'Метод 2'!F55*P45,'Метод 2'!G55*P46))</x:f>
        <x:v>1144475736558.3027</x:v>
      </x:c>
      <x:c r="R44" s="74" t="n">
        <x:f>IF(COUNT('Метод 2'!$B$52:$G$57)&lt;36,"",SUM('Метод 2'!B55*Q41,'Метод 2'!C55*Q42,'Метод 2'!D55*Q43,'Метод 2'!E55*Q44,'Метод 2'!F55*Q45,'Метод 2'!G55*Q46))</x:f>
        <x:v>6980106049145.445</x:v>
      </x:c>
      <x:c r="S44" s="74" t="n">
        <x:f>IF(COUNT('Метод 2'!$B$52:$G$57)&lt;36,"",SUM('Метод 2'!B55*R41,'Метод 2'!C55*R42,'Метод 2'!D55*R43,'Метод 2'!E55*R44,'Метод 2'!F55*R45,'Метод 2'!G55*R46))</x:f>
        <x:v>42571352891965.66</x:v>
      </x:c>
      <x:c r="T44" s="74" t="n">
        <x:f>IF(COUNT('Метод 2'!$B$52:$G$57)&lt;36,"",SUM('Метод 2'!B55*S41,'Метод 2'!C55*S42,'Метод 2'!D55*S43,'Метод 2'!E55*S44,'Метод 2'!F55*S45,'Метод 2'!G55*S46))</x:f>
        <x:v>259640766815304.2</x:v>
      </x:c>
      <x:c r="U44" s="74" t="n">
        <x:f>IF(COUNT('Метод 2'!$B$52:$G$57)&lt;36,"",SUM('Метод 2'!B55*T41,'Метод 2'!C55*T42,'Метод 2'!D55*T43,'Метод 2'!E55*T44,'Метод 2'!F55*T45,'Метод 2'!G55*T46))</x:f>
        <x:v>1583537360523063.5</x:v>
      </x:c>
      <x:c r="V44" s="74" t="n">
        <x:f>IF(COUNT('Метод 2'!$B$52:$G$57)&lt;36,"",SUM('Метод 2'!B55*U41,'Метод 2'!C55*U42,'Метод 2'!D55*U43,'Метод 2'!E55*U44,'Метод 2'!F55*U45,'Метод 2'!G55*U46))</x:f>
        <x:v>9657923148702334</x:v>
      </x:c>
      <x:c r="W44" s="73" t="n">
        <x:f>IF(COUNT(V44)=0,"",SUM('Метод 2'!B55*V41,'Метод 2'!C55*V42,'Метод 2'!D55*V43,'Метод 2'!E55*V44,'Метод 2'!F55*V45,'Метод 2'!G55*V46)/V44)</x:f>
        <x:v>6.098955029082606</x:v>
      </x:c>
      <x:c r="X44" s="73"/>
    </x:row>
    <x:row r="45">
      <x:c r="A45" s="66" t="str">
        <x:v>4–5</x:v>
      </x:c>
      <x:c r="B45" s="66">
        <x:v>1</x:v>
      </x:c>
      <x:c r="C45" s="74" t="n">
        <x:f>IF(COUNT('Метод 2'!$B$52:$G$57)&lt;36,"",SUM('Метод 2'!B56*B41,'Метод 2'!C56*B42,'Метод 2'!D56*B43,'Метод 2'!E56*B44,'Метод 2'!F56*B45,'Метод 2'!G56*B46))</x:f>
        <x:v>19.5</x:v>
      </x:c>
      <x:c r="D45" s="74" t="n">
        <x:f>IF(COUNT('Метод 2'!$B$52:$G$57)&lt;36,"",SUM('Метод 2'!B56*C41,'Метод 2'!C56*C42,'Метод 2'!D56*C43,'Метод 2'!E56*C44,'Метод 2'!F56*C45,'Метод 2'!G56*C46))</x:f>
        <x:v>121.2611111111111</x:v>
      </x:c>
      <x:c r="E45" s="74" t="n">
        <x:f>IF(COUNT('Метод 2'!$B$52:$G$57)&lt;36,"",SUM('Метод 2'!B56*D41,'Метод 2'!C56*D42,'Метод 2'!D56*D43,'Метод 2'!E56*D44,'Метод 2'!F56*D45,'Метод 2'!G56*D46))</x:f>
        <x:v>732.3839285714286</x:v>
      </x:c>
      <x:c r="F45" s="74" t="n">
        <x:f>IF(COUNT('Метод 2'!$B$52:$G$57)&lt;36,"",SUM('Метод 2'!B56*E41,'Метод 2'!C56*E42,'Метод 2'!D56*E43,'Метод 2'!E56*E44,'Метод 2'!F56*E45,'Метод 2'!G56*E46))</x:f>
        <x:v>4465.510846560846</x:v>
      </x:c>
      <x:c r="G45" s="74" t="n">
        <x:f>IF(COUNT('Метод 2'!$B$52:$G$57)&lt;36,"",SUM('Метод 2'!B56*F41,'Метод 2'!C56*F42,'Метод 2'!D56*F43,'Метод 2'!E56*F44,'Метод 2'!F56*F45,'Метод 2'!G56*F46))</x:f>
        <x:v>27239.172526455022</x:v>
      </x:c>
      <x:c r="H45" s="74" t="n">
        <x:f>IF(COUNT('Метод 2'!$B$52:$G$57)&lt;36,"",SUM('Метод 2'!B56*G41,'Метод 2'!C56*G42,'Метод 2'!D56*G43,'Метод 2'!E56*G44,'Метод 2'!F56*G45,'Метод 2'!G56*G46))</x:f>
        <x:v>166131.20260103035</x:v>
      </x:c>
      <x:c r="I45" s="74" t="n">
        <x:f>IF(COUNT('Метод 2'!$B$52:$G$57)&lt;36,"",SUM('Метод 2'!B56*H41,'Метод 2'!C56*H42,'Метод 2'!D56*H43,'Метод 2'!E56*H44,'Метод 2'!F56*H45,'Метод 2'!G56*H46))</x:f>
        <x:v>1013224.2402870881</x:v>
      </x:c>
      <x:c r="J45" s="74" t="n">
        <x:f>IF(COUNT('Метод 2'!$B$52:$G$57)&lt;36,"",SUM('Метод 2'!B56*I41,'Метод 2'!C56*I42,'Метод 2'!D56*I43,'Метод 2'!E56*I44,'Метод 2'!F56*I45,'Метод 2'!G56*I46))</x:f>
        <x:v>6179608.673626544</x:v>
      </x:c>
      <x:c r="K45" s="74" t="n">
        <x:f>IF(COUNT('Метод 2'!$B$52:$G$57)&lt;36,"",SUM('Метод 2'!B56*J41,'Метод 2'!C56*J42,'Метод 2'!D56*J43,'Метод 2'!E56*J44,'Метод 2'!F56*J45,'Метод 2'!G56*J46))</x:f>
        <x:v>37689156.86991595</x:v>
      </x:c>
      <x:c r="L45" s="74" t="n">
        <x:f>IF(COUNT('Метод 2'!$B$52:$G$57)&lt;36,"",SUM('Метод 2'!B56*K41,'Метод 2'!C56*K42,'Метод 2'!D56*K43,'Метод 2'!E56*K44,'Метод 2'!F56*K45,'Метод 2'!G56*K46))</x:f>
        <x:v>229864473.05967584</x:v>
      </x:c>
      <x:c r="M45" s="74" t="n">
        <x:f>IF(COUNT('Метод 2'!$B$52:$G$57)&lt;36,"",SUM('Метод 2'!B56*L41,'Метод 2'!C56*L42,'Метод 2'!D56*L43,'Метод 2'!E56*L44,'Метод 2'!F56*L45,'Метод 2'!G56*L46))</x:f>
        <x:v>1401933083.105612</x:v>
      </x:c>
      <x:c r="N45" s="74" t="n">
        <x:f>IF(COUNT('Метод 2'!$B$52:$G$57)&lt;36,"",SUM('Метод 2'!B56*M41,'Метод 2'!C56*M42,'Метод 2'!D56*M43,'Метод 2'!E56*M44,'Метод 2'!F56*M45,'Метод 2'!G56*M46))</x:f>
        <x:v>8550326827.517576</x:v>
      </x:c>
      <x:c r="O45" s="74" t="n">
        <x:f>IF(COUNT('Метод 2'!$B$52:$G$57)&lt;36,"",SUM('Метод 2'!B56*N41,'Метод 2'!C56*N42,'Метод 2'!D56*N43,'Метод 2'!E56*N44,'Метод 2'!F56*N45,'Метод 2'!G56*N46))</x:f>
        <x:v>52148058805.501305</x:v>
      </x:c>
      <x:c r="P45" s="74" t="n">
        <x:f>IF(COUNT('Метод 2'!$B$52:$G$57)&lt;36,"",SUM('Метод 2'!B56*O41,'Метод 2'!C56*O42,'Метод 2'!D56*O43,'Метод 2'!E56*O44,'Метод 2'!F56*O45,'Метод 2'!G56*O46))</x:f>
        <x:v>318048665508.77844</x:v>
      </x:c>
      <x:c r="Q45" s="74" t="n">
        <x:f>IF(COUNT('Метод 2'!$B$52:$G$57)&lt;36,"",SUM('Метод 2'!B56*P41,'Метод 2'!C56*P42,'Метод 2'!D56*P43,'Метод 2'!E56*P44,'Метод 2'!F56*P45,'Метод 2'!G56*P46))</x:f>
        <x:v>1939764507997.4731</x:v>
      </x:c>
      <x:c r="R45" s="74" t="n">
        <x:f>IF(COUNT('Метод 2'!$B$52:$G$57)&lt;36,"",SUM('Метод 2'!B56*Q41,'Метод 2'!C56*Q42,'Метод 2'!D56*Q43,'Метод 2'!E56*Q44,'Метод 2'!F56*Q45,'Метод 2'!G56*Q46))</x:f>
        <x:v>11830536501287.096</x:v>
      </x:c>
      <x:c r="S45" s="74" t="n">
        <x:f>IF(COUNT('Метод 2'!$B$52:$G$57)&lt;36,"",SUM('Метод 2'!B56*R41,'Метод 2'!C56*R42,'Метод 2'!D56*R43,'Метод 2'!E56*R44,'Метод 2'!F56*R45,'Метод 2'!G56*R46))</x:f>
        <x:v>72153910091270.44</x:v>
      </x:c>
      <x:c r="T45" s="74" t="n">
        <x:f>IF(COUNT('Метод 2'!$B$52:$G$57)&lt;36,"",SUM('Метод 2'!B56*S41,'Метод 2'!C56*S42,'Метод 2'!D56*S43,'Метод 2'!E56*S44,'Метод 2'!F56*S45,'Метод 2'!G56*S46))</x:f>
        <x:v>440063452819128.1</x:v>
      </x:c>
      <x:c r="U45" s="74" t="n">
        <x:f>IF(COUNT('Метод 2'!$B$52:$G$57)&lt;36,"",SUM('Метод 2'!B56*T41,'Метод 2'!C56*T42,'Метод 2'!D56*T43,'Метод 2'!E56*T44,'Метод 2'!F56*T45,'Метод 2'!G56*T46))</x:f>
        <x:v>2683927208686677</x:v>
      </x:c>
      <x:c r="V45" s="74" t="n">
        <x:f>IF(COUNT('Метод 2'!$B$52:$G$57)&lt;36,"",SUM('Метод 2'!B56*U41,'Метод 2'!C56*U42,'Метод 2'!D56*U43,'Метод 2'!E56*U44,'Метод 2'!F56*U45,'Метод 2'!G56*U46))</x:f>
        <x:v>16369151347111248</x:v>
      </x:c>
      <x:c r="W45" s="73" t="n">
        <x:f>IF(COUNT(V45)=0,"",SUM('Метод 2'!B56*V41,'Метод 2'!C56*V42,'Метод 2'!D56*V43,'Метод 2'!E56*V44,'Метод 2'!F56*V45,'Метод 2'!G56*V46)/V45)</x:f>
        <x:v>6.098955029082608</x:v>
      </x:c>
      <x:c r="X45" s="73"/>
    </x:row>
    <x:row r="46">
      <x:c r="A46" s="66" t="str">
        <x:v>5–6</x:v>
      </x:c>
      <x:c r="B46" s="66">
        <x:v>1</x:v>
      </x:c>
      <x:c r="C46" s="74" t="n">
        <x:f>IF(COUNT('Метод 2'!$B$52:$G$57)&lt;36,"",SUM('Метод 2'!B57*B41,'Метод 2'!C57*B42,'Метод 2'!D57*B43,'Метод 2'!E57*B44,'Метод 2'!F57*B45,'Метод 2'!G57*B46))</x:f>
        <x:v>30</x:v>
      </x:c>
      <x:c r="D46" s="74" t="n">
        <x:f>IF(COUNT('Метод 2'!$B$52:$G$57)&lt;36,"",SUM('Метод 2'!B57*C41,'Метод 2'!C57*C42,'Метод 2'!D57*C43,'Метод 2'!E57*C44,'Метод 2'!F57*C45,'Метод 2'!G57*C46))</x:f>
        <x:v>214.9190476190476</x:v>
      </x:c>
      <x:c r="E46" s="74" t="n">
        <x:f>IF(COUNT('Метод 2'!$B$52:$G$57)&lt;36,"",SUM('Метод 2'!B57*D41,'Метод 2'!C57*D42,'Метод 2'!D57*D43,'Метод 2'!E57*D44,'Метод 2'!F57*D45,'Метод 2'!G57*D46))</x:f>
        <x:v>1299.0001984126984</x:v>
      </x:c>
      <x:c r="F46" s="74" t="n">
        <x:f>IF(COUNT('Метод 2'!$B$52:$G$57)&lt;36,"",SUM('Метод 2'!B57*E41,'Метод 2'!C57*E42,'Метод 2'!D57*E43,'Метод 2'!E57*E44,'Метод 2'!F57*E45,'Метод 2'!G57*E46))</x:f>
        <x:v>7903.481779100528</x:v>
      </x:c>
      <x:c r="G46" s="74" t="n">
        <x:f>IF(COUNT('Метод 2'!$B$52:$G$57)&lt;36,"",SUM('Метод 2'!B57*F41,'Метод 2'!C57*F42,'Метод 2'!D57*F43,'Метод 2'!E57*F44,'Метод 2'!F57*F45,'Метод 2'!G57*F46))</x:f>
        <x:v>48210.10173752833</x:v>
      </x:c>
      <x:c r="H46" s="74" t="n">
        <x:f>IF(COUNT('Метод 2'!$B$52:$G$57)&lt;36,"",SUM('Метод 2'!B57*G41,'Метод 2'!C57*G42,'Метод 2'!D57*G43,'Метод 2'!E57*G44,'Метод 2'!F57*G45,'Метод 2'!G57*G46))</x:f>
        <x:v>294042.4189522313</x:v>
      </x:c>
      <x:c r="I46" s="74" t="n">
        <x:f>IF(COUNT('Метод 2'!$B$52:$G$57)&lt;36,"",SUM('Метод 2'!B57*H41,'Метод 2'!C57*H42,'Метод 2'!D57*H43,'Метод 2'!E57*H44,'Метод 2'!F57*H45,'Метод 2'!G57*H46))</x:f>
        <x:v>1793347.2099846334</x:v>
      </x:c>
      <x:c r="J46" s="74" t="n">
        <x:f>IF(COUNT('Метод 2'!$B$52:$G$57)&lt;36,"",SUM('Метод 2'!B57*I41,'Метод 2'!C57*I42,'Метод 2'!D57*I43,'Метод 2'!E57*I44,'Метод 2'!F57*I45,'Метод 2'!G57*I46))</x:f>
        <x:v>10937537.431642545</x:v>
      </x:c>
      <x:c r="K46" s="74" t="n">
        <x:f>IF(COUNT('Метод 2'!$B$52:$G$57)&lt;36,"",SUM('Метод 2'!B57*J41,'Метод 2'!C57*J42,'Метод 2'!D57*J43,'Метод 2'!E57*J44,'Метод 2'!F57*J45,'Метод 2'!G57*J46))</x:f>
        <x:v>66707551.49531931</x:v>
      </x:c>
      <x:c r="L46" s="74" t="n">
        <x:f>IF(COUNT('Метод 2'!$B$52:$G$57)&lt;36,"",SUM('Метод 2'!B57*K41,'Метод 2'!C57*K42,'Метод 2'!D57*K43,'Метод 2'!E57*K44,'Метод 2'!F57*K45,'Метод 2'!G57*K46))</x:f>
        <x:v>406846360.51252586</x:v>
      </x:c>
      <x:c r="M46" s="74" t="n">
        <x:f>IF(COUNT('Метод 2'!$B$52:$G$57)&lt;36,"",SUM('Метод 2'!B57*L41,'Метод 2'!C57*L42,'Метод 2'!D57*L43,'Метод 2'!E57*L44,'Метод 2'!F57*L45,'Метод 2'!G57*L46))</x:f>
        <x:v>2481337654.968286</x:v>
      </x:c>
      <x:c r="N46" s="74" t="n">
        <x:f>IF(COUNT('Метод 2'!$B$52:$G$57)&lt;36,"",SUM('Метод 2'!B57*M41,'Метод 2'!C57*M42,'Метод 2'!D57*M43,'Метод 2'!E57*M44,'Метод 2'!F57*M45,'Метод 2'!G57*M46))</x:f>
        <x:v>15133566767.368368</x:v>
      </x:c>
      <x:c r="O46" s="74" t="n">
        <x:f>IF(COUNT('Метод 2'!$B$52:$G$57)&lt;36,"",SUM('Метод 2'!B57*N41,'Метод 2'!C57*N42,'Метод 2'!D57*N43,'Метод 2'!E57*N44,'Метод 2'!F57*N45,'Метод 2'!G57*N46))</x:f>
        <x:v>92298943144.72504</x:v>
      </x:c>
      <x:c r="P46" s="74" t="n">
        <x:f>IF(COUNT('Метод 2'!$B$52:$G$57)&lt;36,"",SUM('Метод 2'!B57*O41,'Метод 2'!C57*O42,'Метод 2'!D57*O43,'Метод 2'!E57*O44,'Метод 2'!F57*O45,'Метод 2'!G57*O46))</x:f>
        <x:v>562927103472.8506</x:v>
      </x:c>
      <x:c r="Q46" s="74" t="n">
        <x:f>IF(COUNT('Метод 2'!$B$52:$G$57)&lt;36,"",SUM('Метод 2'!B57*P41,'Метод 2'!C57*P42,'Метод 2'!D57*P43,'Метод 2'!E57*P44,'Метод 2'!F57*P45,'Метод 2'!G57*P46))</x:f>
        <x:v>3433267088732.091</x:v>
      </x:c>
      <x:c r="R46" s="74" t="n">
        <x:f>IF(COUNT('Метод 2'!$B$52:$G$57)&lt;36,"",SUM('Метод 2'!B57*Q41,'Метод 2'!C57*Q42,'Метод 2'!D57*Q43,'Метод 2'!E57*Q44,'Метод 2'!F57*Q45,'Метод 2'!G57*Q46))</x:f>
        <x:v>20939341577005.61</x:v>
      </x:c>
      <x:c r="S46" s="74" t="n">
        <x:f>IF(COUNT('Метод 2'!$B$52:$G$57)&lt;36,"",SUM('Метод 2'!B57*R41,'Метод 2'!C57*R42,'Метод 2'!D57*R43,'Метод 2'!E57*R44,'Метод 2'!F57*R45,'Метод 2'!G57*R46))</x:f>
        <x:v>127708102616757.2</x:v>
      </x:c>
      <x:c r="T46" s="74" t="n">
        <x:f>IF(COUNT('Метод 2'!$B$52:$G$57)&lt;36,"",SUM('Метод 2'!B57*S41,'Метод 2'!C57*S42,'Метод 2'!D57*S43,'Метод 2'!E57*S44,'Метод 2'!F57*S45,'Метод 2'!G57*S46))</x:f>
        <x:v>778885974709069.4</x:v>
      </x:c>
      <x:c r="U46" s="74" t="n">
        <x:f>IF(COUNT('Метод 2'!$B$52:$G$57)&lt;36,"",SUM('Метод 2'!B57*T41,'Метод 2'!C57*T42,'Метод 2'!D57*T43,'Метод 2'!E57*T44,'Метод 2'!F57*T45,'Метод 2'!G57*T46))</x:f>
        <x:v>4750390532533785</x:v>
      </x:c>
      <x:c r="V46" s="74" t="n">
        <x:f>IF(COUNT('Метод 2'!$B$52:$G$57)&lt;36,"",SUM('Метод 2'!B57*U41,'Метод 2'!C57*U42,'Метод 2'!D57*U43,'Метод 2'!E57*U44,'Метод 2'!F57*U45,'Метод 2'!G57*U46))</x:f>
        <x:v>28972418228503330</x:v>
      </x:c>
      <x:c r="W46" s="73" t="n">
        <x:f>IF(COUNT(V46)=0,"",SUM('Метод 2'!B57*V41,'Метод 2'!C57*V42,'Метод 2'!D57*V43,'Метод 2'!E57*V44,'Метод 2'!F57*V45,'Метод 2'!G57*V46)/V46)</x:f>
        <x:v>6.098955029082606</x:v>
      </x:c>
      <x:c r="X46" s="73"/>
    </x:row>
    <x:row r="47">
      <x:c r="A47" s="66"/>
      <x:c r="B47" s="66"/>
      <x:c r="C47" s="66"/>
      <x:c r="D47" s="66"/>
      <x:c r="E47" s="66"/>
      <x:c r="F47" s="66"/>
      <x:c r="G47" s="66"/>
      <x:c r="H47" s="66"/>
      <x:c r="I47" s="66"/>
      <x:c r="J47" s="66"/>
      <x:c r="K47" s="66"/>
      <x:c r="L47" s="66"/>
      <x:c r="M47" s="66"/>
      <x:c r="N47" s="66"/>
      <x:c r="O47" s="66"/>
      <x:c r="P47" s="66"/>
      <x:c r="Q47" s="66"/>
      <x:c r="R47" s="66"/>
      <x:c r="S47" s="66"/>
      <x:c r="T47" s="66"/>
      <x:c r="U47" s="66"/>
      <x:c r="V47" s="66"/>
      <x:c r="W47" s="66"/>
      <x:c r="X47" s="66"/>
    </x:row>
    <x:row r="48">
      <x:c r="A48" s="66"/>
      <x:c r="B48" s="66"/>
      <x:c r="C48" s="66"/>
      <x:c r="D48" s="66"/>
      <x:c r="E48" s="66"/>
      <x:c r="F48" s="66"/>
      <x:c r="G48" s="66"/>
      <x:c r="H48" s="66"/>
      <x:c r="I48" s="66"/>
      <x:c r="J48" s="66"/>
      <x:c r="K48" s="66"/>
      <x:c r="L48" s="66"/>
      <x:c r="M48" s="66"/>
      <x:c r="N48" s="66"/>
      <x:c r="O48" s="66"/>
      <x:c r="P48" s="66"/>
      <x:c r="Q48" s="66"/>
      <x:c r="R48" s="66"/>
      <x:c r="S48" s="66"/>
      <x:c r="T48" s="66"/>
      <x:c r="U48" s="66"/>
      <x:c r="V48" s="66"/>
      <x:c r="W48" s="66"/>
      <x:c r="X48" s="66"/>
    </x:row>
    <x:row r="49">
      <x:c r="A49" s="66"/>
      <x:c r="B49" s="66"/>
      <x:c r="C49" s="66"/>
      <x:c r="D49" s="66"/>
      <x:c r="E49" s="66"/>
      <x:c r="F49" s="66"/>
      <x:c r="G49" s="66"/>
      <x:c r="H49" s="66"/>
      <x:c r="I49" s="66"/>
      <x:c r="J49" s="66"/>
      <x:c r="K49" s="66"/>
      <x:c r="L49" s="66"/>
      <x:c r="M49" s="66"/>
      <x:c r="N49" s="66"/>
      <x:c r="O49" s="66"/>
      <x:c r="P49" s="66"/>
      <x:c r="Q49" s="66"/>
      <x:c r="R49" s="66"/>
      <x:c r="S49" s="66"/>
      <x:c r="T49" s="66"/>
      <x:c r="U49" s="66"/>
      <x:c r="V49" s="66"/>
      <x:c r="W49" s="66"/>
      <x:c r="X49" s="66"/>
    </x:row>
    <x:row r="50">
      <x:c r="A50" s="66"/>
      <x:c r="B50" s="66"/>
      <x:c r="C50" s="66"/>
      <x:c r="D50" s="66"/>
      <x:c r="E50" s="66"/>
      <x:c r="F50" s="66"/>
      <x:c r="G50" s="66"/>
      <x:c r="H50" s="66"/>
      <x:c r="I50" s="66"/>
      <x:c r="J50" s="66"/>
      <x:c r="K50" s="66"/>
      <x:c r="L50" s="66"/>
      <x:c r="M50" s="66"/>
      <x:c r="N50" s="66"/>
      <x:c r="O50" s="66"/>
      <x:c r="P50" s="66"/>
      <x:c r="Q50" s="66"/>
      <x:c r="R50" s="66"/>
      <x:c r="S50" s="66"/>
      <x:c r="T50" s="66"/>
      <x:c r="U50" s="66"/>
      <x:c r="V50" s="66"/>
      <x:c r="W50" s="66"/>
      <x:c r="X50" s="66"/>
    </x:row>
    <x:row r="51">
      <x:c r="A51" s="66"/>
      <x:c r="B51" s="66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  <x:c r="M51" s="66"/>
      <x:c r="N51" s="66"/>
      <x:c r="O51" s="66"/>
      <x:c r="P51" s="66"/>
      <x:c r="Q51" s="66"/>
      <x:c r="R51" s="66"/>
      <x:c r="S51" s="66"/>
      <x:c r="T51" s="66"/>
      <x:c r="U51" s="66"/>
      <x:c r="V51" s="66"/>
      <x:c r="W51" s="66"/>
      <x:c r="X51" s="66"/>
    </x:row>
    <x:row r="52">
      <x:c r="A52" s="66"/>
      <x:c r="B52" s="66"/>
      <x:c r="C52" s="66"/>
      <x:c r="D52" s="66"/>
      <x:c r="E52" s="66"/>
      <x:c r="F52" s="66"/>
      <x:c r="G52" s="66"/>
      <x:c r="H52" s="66"/>
      <x:c r="I52" s="66"/>
      <x:c r="J52" s="66"/>
      <x:c r="K52" s="66"/>
      <x:c r="L52" s="66"/>
      <x:c r="M52" s="66"/>
      <x:c r="N52" s="66"/>
      <x:c r="O52" s="66"/>
      <x:c r="P52" s="66"/>
      <x:c r="Q52" s="66"/>
      <x:c r="R52" s="66"/>
      <x:c r="S52" s="66"/>
      <x:c r="T52" s="66"/>
      <x:c r="U52" s="66"/>
      <x:c r="V52" s="66"/>
      <x:c r="W52" s="66"/>
      <x:c r="X52" s="66"/>
    </x:row>
    <x:row r="53">
      <x:c r="A53" s="66"/>
      <x:c r="B53" s="66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  <x:c r="M53" s="66"/>
      <x:c r="N53" s="66"/>
      <x:c r="O53" s="66"/>
      <x:c r="P53" s="66"/>
      <x:c r="Q53" s="66"/>
      <x:c r="R53" s="66"/>
      <x:c r="S53" s="66"/>
      <x:c r="T53" s="66"/>
      <x:c r="U53" s="66"/>
      <x:c r="V53" s="66"/>
      <x:c r="W53" s="66"/>
      <x:c r="X53" s="66"/>
    </x:row>
    <x:row r="54">
      <x:c r="A54" s="66"/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66"/>
      <x:c r="O54" s="66"/>
      <x:c r="P54" s="66"/>
      <x:c r="Q54" s="66"/>
      <x:c r="R54" s="66"/>
      <x:c r="S54" s="66"/>
      <x:c r="T54" s="66"/>
      <x:c r="U54" s="66"/>
      <x:c r="V54" s="66"/>
      <x:c r="W54" s="66"/>
      <x:c r="X54" s="66"/>
    </x:row>
    <x:row r="55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66"/>
      <x:c r="Q55" s="66"/>
      <x:c r="R55" s="66"/>
      <x:c r="S55" s="66"/>
      <x:c r="T55" s="66"/>
      <x:c r="U55" s="66"/>
      <x:c r="V55" s="66"/>
      <x:c r="W55" s="66"/>
      <x:c r="X55" s="66"/>
    </x:row>
    <x:row r="56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66"/>
      <x:c r="Q56" s="66"/>
      <x:c r="R56" s="66"/>
      <x:c r="S56" s="66"/>
      <x:c r="T56" s="66"/>
      <x:c r="U56" s="66"/>
      <x:c r="V56" s="66"/>
      <x:c r="W56" s="66"/>
      <x:c r="X56" s="66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  <x:c r="M57" s="66"/>
      <x:c r="N57" s="66"/>
      <x:c r="O57" s="66"/>
      <x:c r="P57" s="66"/>
      <x:c r="Q57" s="66"/>
      <x:c r="R57" s="66"/>
      <x:c r="S57" s="66"/>
      <x:c r="T57" s="66"/>
      <x:c r="U57" s="66"/>
      <x:c r="V57" s="66"/>
      <x:c r="W57" s="66"/>
      <x:c r="X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  <x:c r="M58" s="66"/>
      <x:c r="N58" s="66"/>
      <x:c r="O58" s="66"/>
      <x:c r="P58" s="66"/>
      <x:c r="Q58" s="66"/>
      <x:c r="R58" s="66"/>
      <x:c r="S58" s="66"/>
      <x:c r="T58" s="66"/>
      <x:c r="U58" s="66"/>
      <x:c r="V58" s="66"/>
      <x:c r="W58" s="66"/>
      <x:c r="X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66"/>
      <x:c r="W59" s="66"/>
      <x:c r="X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  <x:c r="M60" s="66"/>
      <x:c r="N60" s="66"/>
      <x:c r="O60" s="66"/>
      <x:c r="P60" s="66"/>
      <x:c r="Q60" s="66"/>
      <x:c r="R60" s="66"/>
      <x:c r="S60" s="66"/>
      <x:c r="T60" s="66"/>
      <x:c r="U60" s="66"/>
      <x:c r="V60" s="66"/>
      <x:c r="W60" s="66"/>
      <x:c r="X60" s="66"/>
    </x:row>
  </x:sheetData>
  <x:pageMargins left="0.7" right="0.7" top="0.75" bottom="0.75" header="0.3" footer="0.3"/>
</x:worksheet>
</file>