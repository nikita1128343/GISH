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11484a016942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етод 1" sheetId="1" r:id="Re24d1e8c7aad4a49"/>
    <x:sheet xmlns:r="http://schemas.openxmlformats.org/officeDocument/2006/relationships" name="Метод 2" sheetId="2" r:id="R9f394dee890240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00"/>
    <x:numFmt numFmtId="202" formatCode="0.0000"/>
  </x:numFmts>
  <x:fonts count="10">
    <x:font>
      <x:sz val="11"/>
      <x:name val="Carlito"/>
    </x:font>
    <x:font>
      <x:sz val="10"/>
      <x:color rgb="FF253243"/>
      <x:name val="Arial"/>
    </x:font>
    <x:font>
      <x:b/>
      <x:sz val="10"/>
      <x:color rgb="FFFFFFFF"/>
      <x:name val="Arial"/>
    </x:font>
    <x:font>
      <x:b/>
      <x:sz val="14"/>
      <x:color rgb="FF243D59"/>
      <x:name val="Arial"/>
    </x:font>
    <x:font>
      <x:sz val="10"/>
      <x:color rgb="FF5F6E7E"/>
      <x:name val="Arial"/>
    </x:font>
    <x:font>
      <x:b/>
      <x:sz val="10"/>
      <x:color rgb="FF1E2630"/>
      <x:name val="Arial"/>
    </x:font>
    <x:font>
      <x:i/>
      <x:sz val="9"/>
      <x:color rgb="FF627184"/>
      <x:name val="Arial"/>
    </x:font>
    <x:font>
      <x:b/>
      <x:sz val="15"/>
      <x:color rgb="FF243D59"/>
      <x:name val="Arial"/>
    </x:font>
    <x:font>
      <x:i/>
      <x:sz val="10"/>
      <x:color rgb="FF5F6E7E"/>
      <x:name val="Arial"/>
    </x:font>
    <x:font>
      <x:b/>
      <x:sz val="10"/>
      <x:color rgb="FF243D59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243D59"/>
      </x:patternFill>
    </x:fill>
    <x:fill>
      <x:patternFill patternType="solid">
        <x:fgColor rgb="FFDBDDE0"/>
      </x:patternFill>
    </x:fill>
    <x:fill>
      <x:patternFill patternType="solid">
        <x:fgColor rgb="FFF6C9AC"/>
      </x:patternFill>
    </x:fill>
    <x:fill>
      <x:patternFill patternType="solid">
        <x:fgColor rgb="FFFFF0BE"/>
      </x:patternFill>
    </x:fill>
    <x:fill>
      <x:patternFill patternType="solid">
        <x:fgColor rgb="FFDBEAD9"/>
      </x:patternFill>
    </x:fill>
    <x:fill>
      <x:patternFill patternType="solid">
        <x:fgColor rgb="FFFFF2C9"/>
      </x:patternFill>
    </x:fill>
    <x:fill>
      <x:patternFill patternType="solid">
        <x:fgColor rgb="FFDADDE2"/>
      </x:patternFill>
    </x:fill>
    <x:fill>
      <x:patternFill patternType="solid">
        <x:fgColor rgb="FFF5F7F9"/>
      </x:patternFill>
    </x:fill>
    <x:fill>
      <x:patternFill patternType="solid">
        <x:fgColor rgb="FFE9EDF2"/>
      </x:patternFill>
    </x:fill>
    <x:fill>
      <x:patternFill patternType="solid">
        <x:fgColor rgb="FFFFF2CB"/>
      </x:patternFill>
    </x:fill>
  </x:fills>
  <x:borders count="5">
    <x:border/>
    <x:border>
      <x:left style="thin">
        <x:color rgb="FF4D5560"/>
      </x:left>
      <x:right style="thin">
        <x:color rgb="FF4D5560"/>
      </x:right>
      <x:top style="thin">
        <x:color rgb="FF4D5560"/>
      </x:top>
      <x:bottom style="thin">
        <x:color rgb="FF4D5560"/>
      </x:bottom>
    </x:border>
    <x:border>
      <x:left style="thin">
        <x:color rgb="FFB9C2CB"/>
      </x:left>
      <x:right style="thin">
        <x:color rgb="FFB9C2CB"/>
      </x:right>
      <x:top style="thin">
        <x:color rgb="FFB9C2CB"/>
      </x:top>
      <x:bottom style="thin">
        <x:color rgb="FFB9C2CB"/>
      </x:bottom>
    </x:border>
    <x:border>
      <x:bottom style="thin">
        <x:color rgb="FFAAB7C6"/>
      </x:bottom>
    </x:border>
    <x:border>
      <x:bottom style="thin">
        <x:color rgb="FFD9E0E7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6" borderId="1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1" fillId="7" borderId="1" xfId="0" applyNumberFormat="1" applyFont="1" applyFill="1" applyBorder="1" applyAlignment="1">
      <x:alignment vertical="center"/>
    </x:xf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0" fontId="5" fillId="8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0" fontId="1" fillId="9" borderId="1" xfId="0" applyNumberFormat="1" applyFont="1" applyFill="1" applyBorder="1"/>
    <x:xf numFmtId="200" fontId="1" fillId="9" borderId="1" xfId="0" applyNumberFormat="1" applyFont="1" applyFill="1" applyBorder="1"/>
    <x:xf numFmtId="0" fontId="6" fillId="0" borderId="0" xfId="0" applyNumberFormat="1" applyFont="1" applyFill="1" applyBorder="1"/>
    <x:xf numFmtId="0" fontId="2" fillId="2" borderId="2" xfId="0" applyNumberFormat="1" applyFont="1" applyFill="1" applyBorder="1" applyAlignment="1">
      <x:alignment horizontal="center"/>
    </x:xf>
    <x:xf numFmtId="0" fontId="1" fillId="0" borderId="2" xfId="0" applyNumberFormat="1" applyFont="1" applyFill="1" applyBorder="1"/>
    <x:xf numFmtId="200" fontId="1" fillId="0" borderId="2" xfId="0" applyNumberFormat="1" applyFont="1" applyFill="1" applyBorder="1"/>
    <x:xf numFmtId="0" fontId="7" fillId="0" borderId="0" xfId="0" applyNumberFormat="1" applyFont="1" applyFill="1" applyBorder="1"/>
    <x:xf numFmtId="0" fontId="1" fillId="0" borderId="3" xfId="0" applyNumberFormat="1" applyFont="1" applyFill="1" applyBorder="1"/>
    <x:xf numFmtId="0" fontId="8" fillId="0" borderId="0" xfId="0" applyNumberFormat="1" applyFont="1" applyFill="1" applyBorder="1"/>
    <x:xf numFmtId="0" fontId="1" fillId="10" borderId="0" xfId="0" applyNumberFormat="1" applyFont="1" applyFill="1" applyBorder="1"/>
    <x:xf numFmtId="0" fontId="9" fillId="1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4" xfId="0" applyNumberFormat="1" applyFont="1" applyFill="1" applyBorder="1"/>
    <x:xf numFmtId="201" fontId="1" fillId="0" borderId="4" xfId="0" applyNumberFormat="1" applyFont="1" applyFill="1" applyBorder="1"/>
    <x:xf numFmtId="202" fontId="1" fillId="0" borderId="0" xfId="0" applyNumberFormat="1" applyFont="1" applyFill="1" applyBorder="1"/>
    <x:xf numFmtId="202" fontId="1" fillId="0" borderId="4" xfId="0" applyNumberFormat="1" applyFont="1" applyFill="1" applyBorder="1"/>
    <x:xf numFmtId="201" fontId="1" fillId="10" borderId="0" xfId="0" applyNumberFormat="1" applyFont="1" applyFill="1" applyBorder="1"/>
    <x:xf numFmtId="201" fontId="1" fillId="11" borderId="0" xfId="0" applyNumberFormat="1" applyFont="1" applyFill="1" applyBorder="1"/>
    <x:xf numFmtId="201" fontId="1" fillId="9" borderId="0" xfId="0" applyNumberFormat="1" applyFont="1" applyFill="1" applyBorder="1"/>
    <x:xf numFmtId="201" fontId="1" fillId="9" borderId="4" xfId="0" applyNumberFormat="1" applyFont="1" applyFill="1" applyBorder="1"/>
    <x:xf numFmtId="201" fontId="1" fillId="10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6e1baa13c348f5" /><Relationship Type="http://schemas.openxmlformats.org/officeDocument/2006/relationships/theme" Target="/xl/theme/theme1.xml" Id="Rf6a461878d07404a" /><Relationship Type="http://schemas.openxmlformats.org/officeDocument/2006/relationships/sharedStrings" Target="/xl/sharedStrings.xml" Id="Rf59447dc2cad464f" /><Relationship Type="http://schemas.openxmlformats.org/officeDocument/2006/relationships/worksheet" Target="/xl/worksheets/sheet1.xml" Id="Re24d1e8c7aad4a49" /><Relationship Type="http://schemas.openxmlformats.org/officeDocument/2006/relationships/worksheet" Target="/xl/worksheets/sheet2.xml" Id="R9f394dee890240b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4734f5a773d402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85924229f1874fd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Метод 1: оценки пяти экспертов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Близко</c:v>
          </c:tx>
          <c:spPr>
            <a:ln xmlns:a="http://schemas.openxmlformats.org/drawingml/2006/main" w="19050">
              <a:solidFill>
                <a:srgbClr val="25835B"/>
              </a:solidFill>
              <a:prstDash val="solid"/>
            </a:ln>
          </c:spPr>
          <c:marker>
            <c:symbol val="none"/>
          </c:marker>
          <c:cat>
            <c:strRef>
              <c:f>'Метод 1'!$A$30:$A$35</c:f>
              <c:strCache>
                <c:ptCount val="0"/>
              </c:strCache>
            </c:strRef>
          </c:cat>
          <c:val>
            <c:numRef>
              <c:f>'Метод 1'!$B$30:$B$35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Средне</c:v>
          </c:tx>
          <c:spPr>
            <a:ln xmlns:a="http://schemas.openxmlformats.org/drawingml/2006/main" w="19050">
              <a:solidFill>
                <a:srgbClr val="D58A2E"/>
              </a:solidFill>
              <a:prstDash val="solid"/>
            </a:ln>
          </c:spPr>
          <c:marker>
            <c:symbol val="none"/>
          </c:marker>
          <c:cat>
            <c:strRef>
              <c:f>'Метод 1'!$A$30:$A$35</c:f>
              <c:strCache>
                <c:ptCount val="0"/>
              </c:strCache>
            </c:strRef>
          </c:cat>
          <c:val>
            <c:numRef>
              <c:f>'Метод 1'!$C$30:$C$35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Далеко</c:v>
          </c:tx>
          <c:spPr>
            <a:ln xmlns:a="http://schemas.openxmlformats.org/drawingml/2006/main" w="19050">
              <a:solidFill>
                <a:srgbClr val="C5535A"/>
              </a:solidFill>
              <a:prstDash val="solid"/>
            </a:ln>
          </c:spPr>
          <c:marker>
            <c:symbol val="none"/>
          </c:marker>
          <c:cat>
            <c:strRef>
              <c:f>'Метод 1'!$A$30:$A$35</c:f>
              <c:strCache>
                <c:ptCount val="0"/>
              </c:strCache>
            </c:strRef>
          </c:cat>
          <c:val>
            <c:numRef>
              <c:f>'Метод 1'!$D$30:$D$35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Расстояние пешком, км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Степень принадлежности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Метод 2: парные сравнения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Близко</c:v>
          </c:tx>
          <c:spPr>
            <a:ln xmlns:a="http://schemas.openxmlformats.org/drawingml/2006/main" w="19050">
              <a:solidFill>
                <a:srgbClr val="25835B"/>
              </a:solidFill>
              <a:prstDash val="solid"/>
            </a:ln>
          </c:spPr>
          <c:marker>
            <c:symbol val="none"/>
          </c:marker>
          <c:cat>
            <c:strRef>
              <c:f>'Метод 2'!$A$8:$A$13</c:f>
              <c:strCache>
                <c:ptCount val="0"/>
              </c:strCache>
            </c:strRef>
          </c:cat>
          <c:val>
            <c:numRef>
              <c:f>'Метод 2'!$B$8:$B$13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Средне</c:v>
          </c:tx>
          <c:spPr>
            <a:ln xmlns:a="http://schemas.openxmlformats.org/drawingml/2006/main" w="19050">
              <a:solidFill>
                <a:srgbClr val="D58A2E"/>
              </a:solidFill>
              <a:prstDash val="solid"/>
            </a:ln>
          </c:spPr>
          <c:marker>
            <c:symbol val="none"/>
          </c:marker>
          <c:cat>
            <c:strRef>
              <c:f>'Метод 2'!$A$8:$A$13</c:f>
              <c:strCache>
                <c:ptCount val="0"/>
              </c:strCache>
            </c:strRef>
          </c:cat>
          <c:val>
            <c:numRef>
              <c:f>'Метод 2'!$C$8:$C$13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Далеко</c:v>
          </c:tx>
          <c:spPr>
            <a:ln xmlns:a="http://schemas.openxmlformats.org/drawingml/2006/main" w="19050">
              <a:solidFill>
                <a:srgbClr val="C5535A"/>
              </a:solidFill>
              <a:prstDash val="solid"/>
            </a:ln>
          </c:spPr>
          <c:marker>
            <c:symbol val="none"/>
          </c:marker>
          <c:cat>
            <c:strRef>
              <c:f>'Метод 2'!$A$8:$A$13</c:f>
              <c:strCache>
                <c:ptCount val="0"/>
              </c:strCache>
            </c:strRef>
          </c:cat>
          <c:val>
            <c:numRef>
              <c:f>'Метод 2'!$D$8:$D$13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Расстояние пешком, км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Степень принадлежности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28</xdr:row>
      <xdr:rowOff>0</xdr:rowOff>
    </xdr:from>
    <xdr:to>
      <xdr:col>18</xdr:col>
      <xdr:colOff>0</xdr:colOff>
      <xdr:row>47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734f5a773d402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6</xdr:row>
      <xdr:rowOff>0</xdr:rowOff>
    </xdr:from>
    <xdr:to>
      <xdr:col>19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924229f1874f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345535c6e5a452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1e29eb7b8c764b7b" /></Relationships>
</file>

<file path=xl/worksheets/sheet1.xml><?xml version="1.0" encoding="utf-8"?>
<x:worksheet xmlns:x="http://schemas.openxmlformats.org/spreadsheetml/2006/main">
  <x:sheetPr>
    <x:tabColor rgb="FF243D59"/>
  </x:sheetPr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</x:cols>
  <x:sheetData>
    <x:row r="1" ht="25" customHeight="1">
      <x:c r="A1" s="20" t="str">
        <x:v>Эксперт</x:v>
      </x:c>
      <x:c r="B1" s="20" t="str">
        <x:v>Термы</x:v>
      </x:c>
      <x:c r="C1" s="20" t="str">
        <x:v>0–1 км</x:v>
      </x:c>
      <x:c r="D1" s="20" t="str">
        <x:v>1–2 км</x:v>
      </x:c>
      <x:c r="E1" s="20" t="str">
        <x:v>2–3 км</x:v>
      </x:c>
      <x:c r="F1" s="20" t="str">
        <x:v>3–4 км</x:v>
      </x:c>
      <x:c r="G1" s="20" t="str">
        <x:v>4–5 км</x:v>
      </x:c>
      <x:c r="H1" s="20" t="str">
        <x:v>5–6 км</x:v>
      </x:c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 ht="25" customHeight="1">
      <x:c r="A2" s="21" t="str">
        <x:v>Эксперт 1</x:v>
      </x:c>
      <x:c r="B2" s="22" t="str">
        <x:v>Близко</x:v>
      </x:c>
      <x:c r="C2" s="23" t="n">
        <x:v>1</x:v>
      </x:c>
      <x:c r="D2" s="23" t="n">
        <x:v>1</x:v>
      </x:c>
      <x:c r="E2" s="23" t="n">
        <x:v>0</x:v>
      </x:c>
      <x:c r="F2" s="23" t="n">
        <x:v>0</x:v>
      </x:c>
      <x:c r="G2" s="23" t="n">
        <x:v>0</x:v>
      </x:c>
      <x:c r="H2" s="23" t="n">
        <x:v>0</x:v>
      </x:c>
      <x:c r="I2" s="1"/>
      <x:c r="J2" s="36" t="str">
        <x:v>Расстояние пешком</x:v>
      </x:c>
      <x:c r="K2" s="1"/>
      <x:c r="L2" s="1"/>
      <x:c r="M2" s="1"/>
      <x:c r="N2" s="1"/>
      <x:c r="O2" s="1"/>
      <x:c r="P2" s="1"/>
      <x:c r="Q2" s="1"/>
      <x:c r="R2" s="1"/>
      <x:c r="S2" s="1"/>
    </x:row>
    <x:row r="3" ht="25" customHeight="1">
      <x:c r="A3" s="22"/>
      <x:c r="B3" s="22" t="str">
        <x:v>Средне</x:v>
      </x:c>
      <x:c r="C3" s="23" t="n">
        <x:v>0</x:v>
      </x:c>
      <x:c r="D3" s="23" t="n">
        <x:v>1</x:v>
      </x:c>
      <x:c r="E3" s="23" t="n">
        <x:v>1</x:v>
      </x:c>
      <x:c r="F3" s="23" t="n">
        <x:v>1</x:v>
      </x:c>
      <x:c r="G3" s="23" t="n">
        <x:v>0</x:v>
      </x:c>
      <x:c r="H3" s="23" t="n">
        <x:v>0</x:v>
      </x:c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 ht="25" customHeight="1">
      <x:c r="A4" s="22"/>
      <x:c r="B4" s="22" t="str">
        <x:v>Далеко</x:v>
      </x:c>
      <x:c r="C4" s="23" t="n">
        <x:v>0</x:v>
      </x:c>
      <x:c r="D4" s="23" t="n">
        <x:v>0</x:v>
      </x:c>
      <x:c r="E4" s="23" t="n">
        <x:v>0</x:v>
      </x:c>
      <x:c r="F4" s="23" t="n">
        <x:v>0</x:v>
      </x:c>
      <x:c r="G4" s="23" t="n">
        <x:v>1</x:v>
      </x:c>
      <x:c r="H4" s="23" t="n">
        <x:v>1</x:v>
      </x:c>
      <x:c r="I4" s="1"/>
      <x:c r="J4" s="37" t="str">
        <x:v>От начальной до конечной точки маршрута.</x:v>
      </x:c>
      <x:c r="K4" s="1"/>
      <x:c r="L4" s="1"/>
      <x:c r="M4" s="1"/>
      <x:c r="N4" s="1"/>
      <x:c r="O4" s="1"/>
      <x:c r="P4" s="1"/>
      <x:c r="Q4" s="1"/>
      <x:c r="R4" s="1"/>
      <x:c r="S4" s="1"/>
    </x:row>
    <x:row r="5" ht="25" customHeight="1">
      <x:c r="A5" s="24" t="str">
        <x:v>Эксперт 2</x:v>
      </x:c>
      <x:c r="B5" s="25" t="str">
        <x:v>Близко</x:v>
      </x:c>
      <x:c r="C5" s="26" t="n">
        <x:v>1</x:v>
      </x:c>
      <x:c r="D5" s="26" t="n">
        <x:v>1</x:v>
      </x:c>
      <x:c r="E5" s="26" t="n">
        <x:v>0</x:v>
      </x:c>
      <x:c r="F5" s="26" t="n">
        <x:v>0</x:v>
      </x:c>
      <x:c r="G5" s="26" t="n">
        <x:v>0</x:v>
      </x:c>
      <x:c r="H5" s="26" t="n">
        <x:v>0</x:v>
      </x:c>
      <x:c r="I5" s="1"/>
      <x:c r="J5" s="37" t="str">
        <x:v>Шесть интервалов шириной 1 км.</x:v>
      </x:c>
      <x:c r="K5" s="1"/>
      <x:c r="L5" s="1"/>
      <x:c r="M5" s="1"/>
      <x:c r="N5" s="1"/>
      <x:c r="O5" s="1"/>
      <x:c r="P5" s="1"/>
      <x:c r="Q5" s="1"/>
      <x:c r="R5" s="1"/>
      <x:c r="S5" s="1"/>
    </x:row>
    <x:row r="6" ht="25" customHeight="1">
      <x:c r="A6" s="25"/>
      <x:c r="B6" s="25" t="str">
        <x:v>Средне</x:v>
      </x:c>
      <x:c r="C6" s="26" t="n">
        <x:v>0</x:v>
      </x:c>
      <x:c r="D6" s="26" t="n">
        <x:v>0</x:v>
      </x:c>
      <x:c r="E6" s="26" t="n">
        <x:v>1</x:v>
      </x:c>
      <x:c r="F6" s="26" t="n">
        <x:v>1</x:v>
      </x:c>
      <x:c r="G6" s="26" t="n">
        <x:v>1</x:v>
      </x:c>
      <x:c r="H6" s="26" t="n">
        <x:v>0</x:v>
      </x:c>
      <x:c r="I6" s="1"/>
      <x:c r="J6" s="37"/>
      <x:c r="K6" s="1"/>
      <x:c r="L6" s="1"/>
      <x:c r="M6" s="1"/>
      <x:c r="N6" s="1"/>
      <x:c r="O6" s="1"/>
      <x:c r="P6" s="1"/>
      <x:c r="Q6" s="1"/>
      <x:c r="R6" s="1"/>
      <x:c r="S6" s="1"/>
    </x:row>
    <x:row r="7" ht="25" customHeight="1">
      <x:c r="A7" s="25"/>
      <x:c r="B7" s="25" t="str">
        <x:v>Далеко</x:v>
      </x:c>
      <x:c r="C7" s="26" t="n">
        <x:v>0</x:v>
      </x:c>
      <x:c r="D7" s="26" t="n">
        <x:v>0</x:v>
      </x:c>
      <x:c r="E7" s="26" t="n">
        <x:v>0</x:v>
      </x:c>
      <x:c r="F7" s="26" t="n">
        <x:v>0</x:v>
      </x:c>
      <x:c r="G7" s="26" t="n">
        <x:v>1</x:v>
      </x:c>
      <x:c r="H7" s="26" t="n">
        <x:v>1</x:v>
      </x:c>
      <x:c r="I7" s="1"/>
      <x:c r="J7" s="37" t="str">
        <x:v>Оценки пяти экспертов — учебный пример.</x:v>
      </x:c>
      <x:c r="K7" s="1"/>
      <x:c r="L7" s="1"/>
      <x:c r="M7" s="1"/>
      <x:c r="N7" s="1"/>
      <x:c r="O7" s="1"/>
      <x:c r="P7" s="1"/>
      <x:c r="Q7" s="1"/>
      <x:c r="R7" s="1"/>
      <x:c r="S7" s="1"/>
    </x:row>
    <x:row r="8" ht="25" customHeight="1">
      <x:c r="A8" s="27" t="str">
        <x:v>Эксперт 3</x:v>
      </x:c>
      <x:c r="B8" s="28" t="str">
        <x:v>Близко</x:v>
      </x:c>
      <x:c r="C8" s="29" t="n">
        <x:v>1</x:v>
      </x:c>
      <x:c r="D8" s="29" t="n">
        <x:v>1</x:v>
      </x:c>
      <x:c r="E8" s="29" t="n">
        <x:v>1</x:v>
      </x:c>
      <x:c r="F8" s="29" t="n">
        <x:v>0</x:v>
      </x:c>
      <x:c r="G8" s="29" t="n">
        <x:v>0</x:v>
      </x:c>
      <x:c r="H8" s="29" t="n">
        <x:v>0</x:v>
      </x:c>
      <x:c r="I8" s="1"/>
      <x:c r="J8" s="37" t="str">
        <x:v>Для сдачи замените на реальные ответы.</x:v>
      </x:c>
      <x:c r="K8" s="1"/>
      <x:c r="L8" s="1"/>
      <x:c r="M8" s="1"/>
      <x:c r="N8" s="1"/>
      <x:c r="O8" s="1"/>
      <x:c r="P8" s="1"/>
      <x:c r="Q8" s="1"/>
      <x:c r="R8" s="1"/>
      <x:c r="S8" s="1"/>
    </x:row>
    <x:row r="9" ht="25" customHeight="1">
      <x:c r="A9" s="28"/>
      <x:c r="B9" s="28" t="str">
        <x:v>Средне</x:v>
      </x:c>
      <x:c r="C9" s="29" t="n">
        <x:v>0</x:v>
      </x:c>
      <x:c r="D9" s="29" t="n">
        <x:v>0</x:v>
      </x:c>
      <x:c r="E9" s="29" t="n">
        <x:v>1</x:v>
      </x:c>
      <x:c r="F9" s="29" t="n">
        <x:v>1</x:v>
      </x:c>
      <x:c r="G9" s="29" t="n">
        <x:v>0</x:v>
      </x:c>
      <x:c r="H9" s="29" t="n">
        <x:v>0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</x:row>
    <x:row r="10" ht="25" customHeight="1">
      <x:c r="A10" s="28"/>
      <x:c r="B10" s="28" t="str">
        <x:v>Далеко</x:v>
      </x:c>
      <x:c r="C10" s="29" t="n">
        <x:v>0</x:v>
      </x:c>
      <x:c r="D10" s="29" t="n">
        <x:v>0</x:v>
      </x:c>
      <x:c r="E10" s="29" t="n">
        <x:v>0</x:v>
      </x:c>
      <x:c r="F10" s="29" t="n">
        <x:v>1</x:v>
      </x:c>
      <x:c r="G10" s="29" t="n">
        <x:v>1</x:v>
      </x:c>
      <x:c r="H10" s="29" t="n">
        <x:v>1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</x:row>
    <x:row r="11" ht="25" customHeight="1">
      <x:c r="A11" s="30" t="str">
        <x:v>Эксперт 4</x:v>
      </x:c>
      <x:c r="B11" s="31" t="str">
        <x:v>Близко</x:v>
      </x:c>
      <x:c r="C11" s="32" t="n">
        <x:v>1</x:v>
      </x:c>
      <x:c r="D11" s="32" t="n">
        <x:v>1</x:v>
      </x:c>
      <x:c r="E11" s="32" t="n">
        <x:v>0</x:v>
      </x:c>
      <x:c r="F11" s="32" t="n">
        <x:v>0</x:v>
      </x:c>
      <x:c r="G11" s="32" t="n">
        <x:v>0</x:v>
      </x:c>
      <x:c r="H11" s="32" t="n">
        <x:v>0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</x:row>
    <x:row r="12" ht="25" customHeight="1">
      <x:c r="A12" s="31"/>
      <x:c r="B12" s="31" t="str">
        <x:v>Средне</x:v>
      </x:c>
      <x:c r="C12" s="32" t="n">
        <x:v>0</x:v>
      </x:c>
      <x:c r="D12" s="32" t="n">
        <x:v>1</x:v>
      </x:c>
      <x:c r="E12" s="32" t="n">
        <x:v>1</x:v>
      </x:c>
      <x:c r="F12" s="32" t="n">
        <x:v>1</x:v>
      </x:c>
      <x:c r="G12" s="32" t="n">
        <x:v>0</x:v>
      </x:c>
      <x:c r="H12" s="32" t="n">
        <x:v>0</x:v>
      </x:c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</x:row>
    <x:row r="13" ht="25" customHeight="1">
      <x:c r="A13" s="31"/>
      <x:c r="B13" s="31" t="str">
        <x:v>Далеко</x:v>
      </x:c>
      <x:c r="C13" s="32" t="n">
        <x:v>0</x:v>
      </x:c>
      <x:c r="D13" s="32" t="n">
        <x:v>0</x:v>
      </x:c>
      <x:c r="E13" s="32" t="n">
        <x:v>0</x:v>
      </x:c>
      <x:c r="F13" s="32" t="n">
        <x:v>0</x:v>
      </x:c>
      <x:c r="G13" s="32" t="n">
        <x:v>1</x:v>
      </x:c>
      <x:c r="H13" s="32" t="n">
        <x:v>1</x:v>
      </x:c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</x:row>
    <x:row r="14" ht="25" customHeight="1">
      <x:c r="A14" s="33" t="str">
        <x:v>Эксперт 5</x:v>
      </x:c>
      <x:c r="B14" s="34" t="str">
        <x:v>Близко</x:v>
      </x:c>
      <x:c r="C14" s="35" t="n">
        <x:v>1</x:v>
      </x:c>
      <x:c r="D14" s="35" t="n">
        <x:v>0</x:v>
      </x:c>
      <x:c r="E14" s="35" t="n">
        <x:v>0</x:v>
      </x:c>
      <x:c r="F14" s="35" t="n">
        <x:v>0</x:v>
      </x:c>
      <x:c r="G14" s="35" t="n">
        <x:v>0</x:v>
      </x:c>
      <x:c r="H14" s="35" t="n">
        <x:v>0</x:v>
      </x:c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</x:row>
    <x:row r="15" ht="25" customHeight="1">
      <x:c r="A15" s="34"/>
      <x:c r="B15" s="34" t="str">
        <x:v>Средне</x:v>
      </x:c>
      <x:c r="C15" s="35" t="n">
        <x:v>0</x:v>
      </x:c>
      <x:c r="D15" s="35" t="n">
        <x:v>1</x:v>
      </x:c>
      <x:c r="E15" s="35" t="n">
        <x:v>1</x:v>
      </x:c>
      <x:c r="F15" s="35" t="n">
        <x:v>1</x:v>
      </x:c>
      <x:c r="G15" s="35" t="n">
        <x:v>1</x:v>
      </x:c>
      <x:c r="H15" s="35" t="n">
        <x:v>0</x:v>
      </x:c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</x:row>
    <x:row r="16" ht="25" customHeight="1">
      <x:c r="A16" s="34"/>
      <x:c r="B16" s="34" t="str">
        <x:v>Далеко</x:v>
      </x:c>
      <x:c r="C16" s="35" t="n">
        <x:v>0</x:v>
      </x:c>
      <x:c r="D16" s="35" t="n">
        <x:v>0</x:v>
      </x:c>
      <x:c r="E16" s="35" t="n">
        <x:v>0</x:v>
      </x:c>
      <x:c r="F16" s="35" t="n">
        <x:v>0</x:v>
      </x:c>
      <x:c r="G16" s="35" t="n">
        <x:v>1</x:v>
      </x:c>
      <x:c r="H16" s="35" t="n">
        <x:v>1</x:v>
      </x:c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</x:row>
    <x:row r="19" ht="22" customHeight="1">
      <x:c r="A19" s="1"/>
      <x:c r="B19" s="42" t="str">
        <x:v>Термы</x:v>
      </x:c>
      <x:c r="C19" s="42" t="str">
        <x:v>0–1 км</x:v>
      </x:c>
      <x:c r="D19" s="42" t="str">
        <x:v>1–2 км</x:v>
      </x:c>
      <x:c r="E19" s="42" t="str">
        <x:v>2–3 км</x:v>
      </x:c>
      <x:c r="F19" s="42" t="str">
        <x:v>3–4 км</x:v>
      </x:c>
      <x:c r="G19" s="42" t="str">
        <x:v>4–5 км</x:v>
      </x:c>
      <x:c r="H19" s="42" t="str">
        <x:v>5–6 км</x:v>
      </x:c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</x:row>
    <x:row r="20" ht="22" customHeight="1">
      <x:c r="A20" s="1"/>
      <x:c r="B20" s="43" t="str">
        <x:v>Близко</x:v>
      </x:c>
      <x:c r="C20" s="43" t="n">
        <x:f>IF(COUNT(C2,C5,C8,C11,C14)=5,SUM(C2,C5,C8,C11,C14),"")</x:f>
        <x:v>5</x:v>
      </x:c>
      <x:c r="D20" s="43" t="n">
        <x:f>IF(COUNT(D2,D5,D8,D11,D14)=5,SUM(D2,D5,D8,D11,D14),"")</x:f>
        <x:v>4</x:v>
      </x:c>
      <x:c r="E20" s="43" t="n">
        <x:f>IF(COUNT(E2,E5,E8,E11,E14)=5,SUM(E2,E5,E8,E11,E14),"")</x:f>
        <x:v>1</x:v>
      </x:c>
      <x:c r="F20" s="43" t="n">
        <x:f>IF(COUNT(F2,F5,F8,F11,F14)=5,SUM(F2,F5,F8,F11,F14),"")</x:f>
        <x:v>0</x:v>
      </x:c>
      <x:c r="G20" s="43" t="n">
        <x:f>IF(COUNT(G2,G5,G8,G11,G14)=5,SUM(G2,G5,G8,G11,G14),"")</x:f>
        <x:v>0</x:v>
      </x:c>
      <x:c r="H20" s="43" t="n">
        <x:f>IF(COUNT(H2,H5,H8,H11,H14)=5,SUM(H2,H5,H8,H11,H14),"")</x:f>
        <x:v>0</x:v>
      </x:c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</x:row>
    <x:row r="21" ht="22" customHeight="1">
      <x:c r="A21" s="1"/>
      <x:c r="B21" s="45" t="str">
        <x:v>Степень</x:v>
      </x:c>
      <x:c r="C21" s="46" t="n">
        <x:f>IF(COUNT(C20)=0,"",C20/5)</x:f>
        <x:v>1</x:v>
      </x:c>
      <x:c r="D21" s="46" t="n">
        <x:f>IF(COUNT(D20)=0,"",D20/5)</x:f>
        <x:v>0.8</x:v>
      </x:c>
      <x:c r="E21" s="46" t="n">
        <x:f>IF(COUNT(E20)=0,"",E20/5)</x:f>
        <x:v>0.2</x:v>
      </x:c>
      <x:c r="F21" s="46" t="n">
        <x:f>IF(COUNT(F20)=0,"",F20/5)</x:f>
        <x:v>0</x:v>
      </x:c>
      <x:c r="G21" s="46" t="n">
        <x:f>IF(COUNT(G20)=0,"",G20/5)</x:f>
        <x:v>0</x:v>
      </x:c>
      <x:c r="H21" s="46" t="n">
        <x:f>IF(COUNT(H20)=0,"",H20/5)</x:f>
        <x:v>0</x:v>
      </x:c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</x:row>
    <x:row r="22" ht="22" customHeight="1">
      <x:c r="A22" s="1"/>
      <x:c r="B22" s="43" t="str">
        <x:v>Средне</x:v>
      </x:c>
      <x:c r="C22" s="43" t="n">
        <x:f>IF(COUNT(C3,C6,C9,C12,C15)=5,SUM(C3,C6,C9,C12,C15),"")</x:f>
        <x:v>0</x:v>
      </x:c>
      <x:c r="D22" s="43" t="n">
        <x:f>IF(COUNT(D3,D6,D9,D12,D15)=5,SUM(D3,D6,D9,D12,D15),"")</x:f>
        <x:v>3</x:v>
      </x:c>
      <x:c r="E22" s="43" t="n">
        <x:f>IF(COUNT(E3,E6,E9,E12,E15)=5,SUM(E3,E6,E9,E12,E15),"")</x:f>
        <x:v>5</x:v>
      </x:c>
      <x:c r="F22" s="43" t="n">
        <x:f>IF(COUNT(F3,F6,F9,F12,F15)=5,SUM(F3,F6,F9,F12,F15),"")</x:f>
        <x:v>5</x:v>
      </x:c>
      <x:c r="G22" s="43" t="n">
        <x:f>IF(COUNT(G3,G6,G9,G12,G15)=5,SUM(G3,G6,G9,G12,G15),"")</x:f>
        <x:v>2</x:v>
      </x:c>
      <x:c r="H22" s="43" t="n">
        <x:f>IF(COUNT(H3,H6,H9,H12,H15)=5,SUM(H3,H6,H9,H12,H15),"")</x:f>
        <x:v>0</x:v>
      </x:c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</x:row>
    <x:row r="23" ht="22" customHeight="1">
      <x:c r="A23" s="1"/>
      <x:c r="B23" s="45" t="str">
        <x:v>Степень</x:v>
      </x:c>
      <x:c r="C23" s="46" t="n">
        <x:f>IF(COUNT(C22)=0,"",C22/5)</x:f>
        <x:v>0</x:v>
      </x:c>
      <x:c r="D23" s="46" t="n">
        <x:f>IF(COUNT(D22)=0,"",D22/5)</x:f>
        <x:v>0.6</x:v>
      </x:c>
      <x:c r="E23" s="46" t="n">
        <x:f>IF(COUNT(E22)=0,"",E22/5)</x:f>
        <x:v>1</x:v>
      </x:c>
      <x:c r="F23" s="46" t="n">
        <x:f>IF(COUNT(F22)=0,"",F22/5)</x:f>
        <x:v>1</x:v>
      </x:c>
      <x:c r="G23" s="46" t="n">
        <x:f>IF(COUNT(G22)=0,"",G22/5)</x:f>
        <x:v>0.4</x:v>
      </x:c>
      <x:c r="H23" s="46" t="n">
        <x:f>IF(COUNT(H22)=0,"",H22/5)</x:f>
        <x:v>0</x:v>
      </x:c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</x:row>
    <x:row r="24" ht="22" customHeight="1">
      <x:c r="A24" s="1"/>
      <x:c r="B24" s="43" t="str">
        <x:v>Далеко</x:v>
      </x:c>
      <x:c r="C24" s="43" t="n">
        <x:f>IF(COUNT(C4,C7,C10,C13,C16)=5,SUM(C4,C7,C10,C13,C16),"")</x:f>
        <x:v>0</x:v>
      </x:c>
      <x:c r="D24" s="43" t="n">
        <x:f>IF(COUNT(D4,D7,D10,D13,D16)=5,SUM(D4,D7,D10,D13,D16),"")</x:f>
        <x:v>0</x:v>
      </x:c>
      <x:c r="E24" s="43" t="n">
        <x:f>IF(COUNT(E4,E7,E10,E13,E16)=5,SUM(E4,E7,E10,E13,E16),"")</x:f>
        <x:v>0</x:v>
      </x:c>
      <x:c r="F24" s="43" t="n">
        <x:f>IF(COUNT(F4,F7,F10,F13,F16)=5,SUM(F4,F7,F10,F13,F16),"")</x:f>
        <x:v>1</x:v>
      </x:c>
      <x:c r="G24" s="43" t="n">
        <x:f>IF(COUNT(G4,G7,G10,G13,G16)=5,SUM(G4,G7,G10,G13,G16),"")</x:f>
        <x:v>5</x:v>
      </x:c>
      <x:c r="H24" s="43" t="n">
        <x:f>IF(COUNT(H4,H7,H10,H13,H16)=5,SUM(H4,H7,H10,H13,H16),"")</x:f>
        <x:v>5</x:v>
      </x:c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</x:row>
    <x:row r="25" ht="22" customHeight="1">
      <x:c r="A25" s="1"/>
      <x:c r="B25" s="45" t="str">
        <x:v>Степень</x:v>
      </x:c>
      <x:c r="C25" s="46" t="n">
        <x:f>IF(COUNT(C24)=0,"",C24/5)</x:f>
        <x:v>0</x:v>
      </x:c>
      <x:c r="D25" s="46" t="n">
        <x:f>IF(COUNT(D24)=0,"",D24/5)</x:f>
        <x:v>0</x:v>
      </x:c>
      <x:c r="E25" s="46" t="n">
        <x:f>IF(COUNT(E24)=0,"",E24/5)</x:f>
        <x:v>0</x:v>
      </x:c>
      <x:c r="F25" s="46" t="n">
        <x:f>IF(COUNT(F24)=0,"",F24/5)</x:f>
        <x:v>0.2</x:v>
      </x:c>
      <x:c r="G25" s="46" t="n">
        <x:f>IF(COUNT(G24)=0,"",G24/5)</x:f>
        <x:v>1</x:v>
      </x:c>
      <x:c r="H25" s="46" t="n">
        <x:f>IF(COUNT(H24)=0,"",H24/5)</x:f>
        <x:v>1</x:v>
      </x:c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</x:row>
    <x:row r="27" ht="22" customHeight="1">
      <x:c r="A27" s="1"/>
      <x:c r="B27" s="47" t="str">
        <x:v>Степень принадлежности = число голосов / 5. Метод: «Лабораторная 1.pptx».</x:v>
      </x:c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</x:row>
    <x:row r="29" ht="27" customHeight="1">
      <x:c r="A29" s="48" t="str">
        <x:v>Интервал, км</x:v>
      </x:c>
      <x:c r="B29" s="48" t="str">
        <x:v>Близко</x:v>
      </x:c>
      <x:c r="C29" s="48" t="str">
        <x:v>Средне</x:v>
      </x:c>
      <x:c r="D29" s="48" t="str">
        <x:v>Далеко</x:v>
      </x:c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</x:row>
    <x:row r="30" ht="22" customHeight="1">
      <x:c r="A30" s="49" t="str">
        <x:v>0–1</x:v>
      </x:c>
      <x:c r="B30" s="50" t="n">
        <x:f>C21</x:f>
        <x:v>1</x:v>
      </x:c>
      <x:c r="C30" s="50" t="n">
        <x:f>C23</x:f>
        <x:v>0</x:v>
      </x:c>
      <x:c r="D30" s="50" t="n">
        <x:f>C25</x:f>
        <x:v>0</x:v>
      </x:c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</x:row>
    <x:row r="31" ht="22" customHeight="1">
      <x:c r="A31" s="49" t="str">
        <x:v>1–2</x:v>
      </x:c>
      <x:c r="B31" s="50" t="n">
        <x:f>D21</x:f>
        <x:v>0.8</x:v>
      </x:c>
      <x:c r="C31" s="50" t="n">
        <x:f>D23</x:f>
        <x:v>0.6</x:v>
      </x:c>
      <x:c r="D31" s="50" t="n">
        <x:f>D25</x:f>
        <x:v>0</x:v>
      </x:c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</x:row>
    <x:row r="32" ht="22" customHeight="1">
      <x:c r="A32" s="49" t="str">
        <x:v>2–3</x:v>
      </x:c>
      <x:c r="B32" s="50" t="n">
        <x:f>E21</x:f>
        <x:v>0.2</x:v>
      </x:c>
      <x:c r="C32" s="50" t="n">
        <x:f>E23</x:f>
        <x:v>1</x:v>
      </x:c>
      <x:c r="D32" s="50" t="n">
        <x:f>E25</x:f>
        <x:v>0</x:v>
      </x:c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</x:row>
    <x:row r="33" ht="22" customHeight="1">
      <x:c r="A33" s="49" t="str">
        <x:v>3–4</x:v>
      </x:c>
      <x:c r="B33" s="50" t="n">
        <x:f>F21</x:f>
        <x:v>0</x:v>
      </x:c>
      <x:c r="C33" s="50" t="n">
        <x:f>F23</x:f>
        <x:v>1</x:v>
      </x:c>
      <x:c r="D33" s="50" t="n">
        <x:f>F25</x:f>
        <x:v>0.2</x:v>
      </x:c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</x:row>
    <x:row r="34" ht="22" customHeight="1">
      <x:c r="A34" s="49" t="str">
        <x:v>4–5</x:v>
      </x:c>
      <x:c r="B34" s="50" t="n">
        <x:f>G21</x:f>
        <x:v>0</x:v>
      </x:c>
      <x:c r="C34" s="50" t="n">
        <x:f>G23</x:f>
        <x:v>0.4</x:v>
      </x:c>
      <x:c r="D34" s="50" t="n">
        <x:f>G25</x:f>
        <x:v>1</x:v>
      </x:c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</x:row>
    <x:row r="35" ht="22" customHeight="1">
      <x:c r="A35" s="49" t="str">
        <x:v>5–6</x:v>
      </x:c>
      <x:c r="B35" s="50" t="n">
        <x:f>H21</x:f>
        <x:v>0</x:v>
      </x:c>
      <x:c r="C35" s="50" t="n">
        <x:f>H23</x:f>
        <x:v>0</x:v>
      </x:c>
      <x:c r="D35" s="50" t="n">
        <x:f>H25</x:f>
        <x:v>1</x:v>
      </x:c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</x:row>
  </x:sheetData>
  <x:mergeCells>
    <x:mergeCell ref="A2:A4"/>
    <x:mergeCell ref="A5:A7"/>
    <x:mergeCell ref="A8:A10"/>
    <x:mergeCell ref="A11:A13"/>
    <x:mergeCell ref="A14:A16"/>
  </x:mergeCells>
  <x:dataValidations count="1">
    <x:dataValidation type="whole" operator="between" sqref="C2:H16">
      <x:formula1>0</x:formula1>
      <x:formula2>1</x:formula2>
    </x:dataValidation>
  </x:dataValidations>
  <x:pageMargins left="0.7" right="0.7" top="0.75" bottom="0.75" header="0.3" footer="0.3"/>
  <x:drawing xmlns:r="http://schemas.openxmlformats.org/officeDocument/2006/relationships" r:id="R4345535c6e5a452e"/>
</x:worksheet>
</file>

<file path=xl/worksheets/sheet2.xml><?xml version="1.0" encoding="utf-8"?>
<x:worksheet xmlns:x="http://schemas.openxmlformats.org/spreadsheetml/2006/main">
  <x:sheetPr>
    <x:tabColor rgb="FF587899"/>
  </x:sheetPr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 ht="22" customHeight="1">
      <x:c r="A2" s="51" t="str">
        <x:v>Парные сравнения расстояния пешком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 ht="22" customHeight="1">
      <x:c r="A3" s="52"/>
      <x:c r="B3" s="52"/>
      <x:c r="C3" s="52"/>
      <x:c r="D3" s="52"/>
      <x:c r="E3" s="52"/>
      <x:c r="F3" s="52"/>
      <x:c r="G3" s="52"/>
      <x:c r="H3" s="52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 ht="22" customHeight="1">
      <x:c r="A4" s="53" t="str">
        <x:v>Учебный пример: модельные оценки одного эксперта. Жёлтые ячейки — самостоятельные парные сравнения по шкале Саати.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</x:row>
    <x:row r="5" ht="22" customHeight="1">
      <x:c r="A5" s="53" t="str">
        <x:v>Итоги получены из главных собственных векторов. MATLAB-код пересчитает их; запись в Excel включается флагом writeResultsToExcel.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</x:row>
    <x:row r="6" ht="25" customHeight="1">
      <x:c r="A6" s="55" t="str">
        <x:v>Степени принадлежности</x:v>
      </x:c>
      <x:c r="B6" s="55"/>
      <x:c r="C6" s="55"/>
      <x:c r="D6" s="55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</x:row>
    <x:row r="7" ht="27" customHeight="1">
      <x:c r="A7" s="4" t="str">
        <x:v>Интервал, км</x:v>
      </x:c>
      <x:c r="B7" s="4" t="str">
        <x:v>Близко</x:v>
      </x:c>
      <x:c r="C7" s="4" t="str">
        <x:v>Средне</x:v>
      </x:c>
      <x:c r="D7" s="4" t="str">
        <x:v>Далеко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</x:row>
    <x:row r="8" ht="22" customHeight="1">
      <x:c r="A8" s="1" t="str">
        <x:v>0–1</x:v>
      </x:c>
      <x:c r="B8" s="56" t="n">
        <x:v>1</x:v>
      </x:c>
      <x:c r="C8" s="56" t="n">
        <x:v>0.16032107656211744</x:v>
      </x:c>
      <x:c r="D8" s="56" t="n">
        <x:v>0.07337614612885916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</x:row>
    <x:row r="9" ht="22" customHeight="1">
      <x:c r="A9" s="1" t="str">
        <x:v>1–2</x:v>
      </x:c>
      <x:c r="B9" s="56" t="n">
        <x:v>0.47820114223609783</x:v>
      </x:c>
      <x:c r="C9" s="56" t="n">
        <x:v>0.2432067049486117</x:v>
      </x:c>
      <x:c r="D9" s="56" t="n">
        <x:v>0.1064679683934514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</x:row>
    <x:row r="10" ht="22" customHeight="1">
      <x:c r="A10" s="1" t="str">
        <x:v>2–3</x:v>
      </x:c>
      <x:c r="B10" s="56" t="n">
        <x:v>0.27703619748735075</x:v>
      </x:c>
      <x:c r="C10" s="56" t="n">
        <x:v>0.7577794111319931</x:v>
      </x:c>
      <x:c r="D10" s="56" t="n">
        <x:v>0.1872414565497262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</x:row>
    <x:row r="11" ht="22" customHeight="1">
      <x:c r="A11" s="1" t="str">
        <x:v>3–4</x:v>
      </x:c>
      <x:c r="B11" s="56" t="n">
        <x:v>0.15469865921261544</x:v>
      </x:c>
      <x:c r="C11" s="56" t="n">
        <x:v>1</x:v>
      </x:c>
      <x:c r="D11" s="56" t="n">
        <x:v>0.3333488793559103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</x:row>
    <x:row r="12" ht="22" customHeight="1">
      <x:c r="A12" s="1" t="str">
        <x:v>4–5</x:v>
      </x:c>
      <x:c r="B12" s="56" t="n">
        <x:v>0.08695898140989336</x:v>
      </x:c>
      <x:c r="C12" s="56" t="n">
        <x:v>0.4066879123569165</x:v>
      </x:c>
      <x:c r="D12" s="56" t="n">
        <x:v>0.5649908550266313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</x:row>
    <x:row r="13" ht="22" customHeight="1">
      <x:c r="A13" s="57" t="str">
        <x:v>5–6</x:v>
      </x:c>
      <x:c r="B13" s="58" t="n">
        <x:v>0.057509050428066935</x:v>
      </x:c>
      <x:c r="C13" s="58" t="n">
        <x:v>0.13523768715709023</x:v>
      </x:c>
      <x:c r="D13" s="58" t="n">
        <x:v>1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</x:row>
    <x:row r="16" ht="25" customHeight="1">
      <x:c r="A16" s="55" t="str">
        <x:v>Согласованность сравнений</x:v>
      </x:c>
      <x:c r="B16" s="55"/>
      <x:c r="C16" s="55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</x:row>
    <x:row r="17" ht="27" customHeight="1">
      <x:c r="A17" s="4" t="str">
        <x:v>Терм</x:v>
      </x:c>
      <x:c r="B17" s="4" t="str">
        <x:v>λ max</x:v>
      </x:c>
      <x:c r="C17" s="4" t="str">
        <x:v>λ max − 6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</x:row>
    <x:row r="18" ht="22" customHeight="1">
      <x:c r="A18" s="1" t="str">
        <x:v>Близко</x:v>
      </x:c>
      <x:c r="B18" s="59" t="n">
        <x:v>6.202887315175003</x:v>
      </x:c>
      <x:c r="C18" s="59" t="n">
        <x:v>0.20288731517500302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</x:row>
    <x:row r="19" ht="22" customHeight="1">
      <x:c r="A19" s="1" t="str">
        <x:v>Средне</x:v>
      </x:c>
      <x:c r="B19" s="59" t="n">
        <x:v>6.12755033182317</x:v>
      </x:c>
      <x:c r="C19" s="59" t="n">
        <x:v>0.1275503318231701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</x:row>
    <x:row r="20" ht="22" customHeight="1">
      <x:c r="A20" s="57" t="str">
        <x:v>Далеко</x:v>
      </x:c>
      <x:c r="B20" s="60" t="n">
        <x:v>6.098955029082605</x:v>
      </x:c>
      <x:c r="C20" s="60" t="n">
        <x:v>0.0989550290826049</x:v>
      </x:c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</x:row>
    <x:row r="22" ht="22" customHeight="1">
      <x:c r="A22" s="47" t="str">
        <x:v>Каждая матрица содержит 15 самостоятельных сравнений; диагональ равна 1, противоположные элементы взаимно обратны. μ = W / max(W).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</x:row>
    <x:row r="25" ht="25" customHeight="1">
      <x:c r="A25" s="55" t="str">
        <x:v>Матрица: близко</x:v>
      </x:c>
      <x:c r="B25" s="55"/>
      <x:c r="C25" s="55"/>
      <x:c r="D25" s="55"/>
      <x:c r="E25" s="55"/>
      <x:c r="F25" s="55"/>
      <x:c r="G25" s="55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</x:row>
    <x:row r="27" ht="27" customHeight="1">
      <x:c r="A27" s="4" t="str">
        <x:v>Строка / столбец</x:v>
      </x:c>
      <x:c r="B27" s="4" t="str">
        <x:v>0–1</x:v>
      </x:c>
      <x:c r="C27" s="4" t="str">
        <x:v>1–2</x:v>
      </x:c>
      <x:c r="D27" s="4" t="str">
        <x:v>2–3</x:v>
      </x:c>
      <x:c r="E27" s="4" t="str">
        <x:v>3–4</x:v>
      </x:c>
      <x:c r="F27" s="4" t="str">
        <x:v>4–5</x:v>
      </x:c>
      <x:c r="G27" s="4" t="str">
        <x:v>5–6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</x:row>
    <x:row r="28" ht="22" customHeight="1">
      <x:c r="A28" s="1" t="str">
        <x:v>0–1</x:v>
      </x:c>
      <x:c r="B28" s="61" t="n">
        <x:v>1</x:v>
      </x:c>
      <x:c r="C28" s="62" t="n">
        <x:v>3</x:v>
      </x:c>
      <x:c r="D28" s="62" t="n">
        <x:v>5</x:v>
      </x:c>
      <x:c r="E28" s="62" t="n">
        <x:v>7</x:v>
      </x:c>
      <x:c r="F28" s="62" t="n">
        <x:v>9</x:v>
      </x:c>
      <x:c r="G28" s="62" t="n">
        <x:v>9</x:v>
      </x:c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</x:row>
    <x:row r="29" ht="22" customHeight="1">
      <x:c r="A29" s="1" t="str">
        <x:v>1–2</x:v>
      </x:c>
      <x:c r="B29" s="63" t="n">
        <x:f>IF(C28="","",1/C28)</x:f>
        <x:v>0.3333333333333333</x:v>
      </x:c>
      <x:c r="C29" s="61" t="n">
        <x:v>1</x:v>
      </x:c>
      <x:c r="D29" s="62" t="n">
        <x:v>2</x:v>
      </x:c>
      <x:c r="E29" s="62" t="n">
        <x:v>4</x:v>
      </x:c>
      <x:c r="F29" s="62" t="n">
        <x:v>6</x:v>
      </x:c>
      <x:c r="G29" s="62" t="n">
        <x:v>8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</x:row>
    <x:row r="30" ht="22" customHeight="1">
      <x:c r="A30" s="1" t="str">
        <x:v>2–3</x:v>
      </x:c>
      <x:c r="B30" s="63" t="n">
        <x:f>IF(D28="","",1/D28)</x:f>
        <x:v>0.2</x:v>
      </x:c>
      <x:c r="C30" s="63" t="n">
        <x:f>IF(D29="","",1/D29)</x:f>
        <x:v>0.5</x:v>
      </x:c>
      <x:c r="D30" s="61" t="n">
        <x:v>1</x:v>
      </x:c>
      <x:c r="E30" s="62" t="n">
        <x:v>2</x:v>
      </x:c>
      <x:c r="F30" s="62" t="n">
        <x:v>4</x:v>
      </x:c>
      <x:c r="G30" s="62" t="n">
        <x:v>6</x:v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</x:row>
    <x:row r="31" ht="22" customHeight="1">
      <x:c r="A31" s="1" t="str">
        <x:v>3–4</x:v>
      </x:c>
      <x:c r="B31" s="63" t="n">
        <x:f>IF(E28="","",1/E28)</x:f>
        <x:v>0.14285714285714285</x:v>
      </x:c>
      <x:c r="C31" s="63" t="n">
        <x:f>IF(E29="","",1/E29)</x:f>
        <x:v>0.25</x:v>
      </x:c>
      <x:c r="D31" s="63" t="n">
        <x:f>IF(E30="","",1/E30)</x:f>
        <x:v>0.5</x:v>
      </x:c>
      <x:c r="E31" s="61" t="n">
        <x:v>1</x:v>
      </x:c>
      <x:c r="F31" s="62" t="n">
        <x:v>2</x:v>
      </x:c>
      <x:c r="G31" s="62" t="n">
        <x:v>4</x:v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</x:row>
    <x:row r="32" ht="22" customHeight="1">
      <x:c r="A32" s="1" t="str">
        <x:v>4–5</x:v>
      </x:c>
      <x:c r="B32" s="63" t="n">
        <x:f>IF(F28="","",1/F28)</x:f>
        <x:v>0.1111111111111111</x:v>
      </x:c>
      <x:c r="C32" s="63" t="n">
        <x:f>IF(F29="","",1/F29)</x:f>
        <x:v>0.16666666666666666</x:v>
      </x:c>
      <x:c r="D32" s="63" t="n">
        <x:f>IF(F30="","",1/F30)</x:f>
        <x:v>0.25</x:v>
      </x:c>
      <x:c r="E32" s="63" t="n">
        <x:f>IF(F31="","",1/F31)</x:f>
        <x:v>0.5</x:v>
      </x:c>
      <x:c r="F32" s="61" t="n">
        <x:v>1</x:v>
      </x:c>
      <x:c r="G32" s="62" t="n">
        <x:v>2</x:v>
      </x:c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</x:row>
    <x:row r="33" ht="22" customHeight="1">
      <x:c r="A33" s="57" t="str">
        <x:v>5–6</x:v>
      </x:c>
      <x:c r="B33" s="64" t="n">
        <x:f>IF(G28="","",1/G28)</x:f>
        <x:v>0.1111111111111111</x:v>
      </x:c>
      <x:c r="C33" s="64" t="n">
        <x:f>IF(G29="","",1/G29)</x:f>
        <x:v>0.125</x:v>
      </x:c>
      <x:c r="D33" s="64" t="n">
        <x:f>IF(G30="","",1/G30)</x:f>
        <x:v>0.16666666666666666</x:v>
      </x:c>
      <x:c r="E33" s="64" t="n">
        <x:f>IF(G31="","",1/G31)</x:f>
        <x:v>0.25</x:v>
      </x:c>
      <x:c r="F33" s="64" t="n">
        <x:f>IF(G32="","",1/G32)</x:f>
        <x:v>0.5</x:v>
      </x:c>
      <x:c r="G33" s="65" t="n">
        <x:v>1</x:v>
      </x:c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</x:row>
    <x:row r="37" ht="25" customHeight="1">
      <x:c r="A37" s="55" t="str">
        <x:v>Матрица: средне</x:v>
      </x:c>
      <x:c r="B37" s="55"/>
      <x:c r="C37" s="55"/>
      <x:c r="D37" s="55"/>
      <x:c r="E37" s="55"/>
      <x:c r="F37" s="55"/>
      <x:c r="G37" s="55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</x:row>
    <x:row r="39" ht="27" customHeight="1">
      <x:c r="A39" s="4" t="str">
        <x:v>Строка / столбец</x:v>
      </x:c>
      <x:c r="B39" s="4" t="str">
        <x:v>0–1</x:v>
      </x:c>
      <x:c r="C39" s="4" t="str">
        <x:v>1–2</x:v>
      </x:c>
      <x:c r="D39" s="4" t="str">
        <x:v>2–3</x:v>
      </x:c>
      <x:c r="E39" s="4" t="str">
        <x:v>3–4</x:v>
      </x:c>
      <x:c r="F39" s="4" t="str">
        <x:v>4–5</x:v>
      </x:c>
      <x:c r="G39" s="4" t="str">
        <x:v>5–6</x:v>
      </x:c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</x:row>
    <x:row r="40" ht="22" customHeight="1">
      <x:c r="A40" s="1" t="str">
        <x:v>0–1</x:v>
      </x:c>
      <x:c r="B40" s="61" t="n">
        <x:v>1</x:v>
      </x:c>
      <x:c r="C40" s="62" t="n">
        <x:v>0.5</x:v>
      </x:c>
      <x:c r="D40" s="62" t="n">
        <x:v>0.2</x:v>
      </x:c>
      <x:c r="E40" s="62" t="n">
        <x:v>0.14285714285714285</x:v>
      </x:c>
      <x:c r="F40" s="62" t="n">
        <x:v>0.3333333333333333</x:v>
      </x:c>
      <x:c r="G40" s="62" t="n">
        <x:v>2</x:v>
      </x:c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</x:row>
    <x:row r="41" ht="22" customHeight="1">
      <x:c r="A41" s="1" t="str">
        <x:v>1–2</x:v>
      </x:c>
      <x:c r="B41" s="63" t="n">
        <x:f>IF(C40="","",1/C40)</x:f>
        <x:v>2</x:v>
      </x:c>
      <x:c r="C41" s="61" t="n">
        <x:v>1</x:v>
      </x:c>
      <x:c r="D41" s="62" t="n">
        <x:v>0.3333333333333333</x:v>
      </x:c>
      <x:c r="E41" s="62" t="n">
        <x:v>0.2</x:v>
      </x:c>
      <x:c r="F41" s="62" t="n">
        <x:v>0.5</x:v>
      </x:c>
      <x:c r="G41" s="62" t="n">
        <x:v>2</x:v>
      </x:c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</x:row>
    <x:row r="42" ht="22" customHeight="1">
      <x:c r="A42" s="1" t="str">
        <x:v>2–3</x:v>
      </x:c>
      <x:c r="B42" s="63" t="n">
        <x:f>IF(D40="","",1/D40)</x:f>
        <x:v>5</x:v>
      </x:c>
      <x:c r="C42" s="63" t="n">
        <x:f>IF(D41="","",1/D41)</x:f>
        <x:v>3</x:v>
      </x:c>
      <x:c r="D42" s="61" t="n">
        <x:v>1</x:v>
      </x:c>
      <x:c r="E42" s="62" t="n">
        <x:v>1</x:v>
      </x:c>
      <x:c r="F42" s="62" t="n">
        <x:v>2</x:v>
      </x:c>
      <x:c r="G42" s="62" t="n">
        <x:v>4</x:v>
      </x:c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</x:row>
    <x:row r="43" ht="22" customHeight="1">
      <x:c r="A43" s="1" t="str">
        <x:v>3–4</x:v>
      </x:c>
      <x:c r="B43" s="63" t="n">
        <x:f>IF(E40="","",1/E40)</x:f>
        <x:v>7</x:v>
      </x:c>
      <x:c r="C43" s="63" t="n">
        <x:f>IF(E41="","",1/E41)</x:f>
        <x:v>5</x:v>
      </x:c>
      <x:c r="D43" s="63" t="n">
        <x:f>IF(E42="","",1/E42)</x:f>
        <x:v>1</x:v>
      </x:c>
      <x:c r="E43" s="61" t="n">
        <x:v>1</x:v>
      </x:c>
      <x:c r="F43" s="62" t="n">
        <x:v>3</x:v>
      </x:c>
      <x:c r="G43" s="62" t="n">
        <x:v>6</x:v>
      </x:c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</x:row>
    <x:row r="44" ht="22" customHeight="1">
      <x:c r="A44" s="1" t="str">
        <x:v>4–5</x:v>
      </x:c>
      <x:c r="B44" s="63" t="n">
        <x:f>IF(F40="","",1/F40)</x:f>
        <x:v>3</x:v>
      </x:c>
      <x:c r="C44" s="63" t="n">
        <x:f>IF(F41="","",1/F41)</x:f>
        <x:v>2</x:v>
      </x:c>
      <x:c r="D44" s="63" t="n">
        <x:f>IF(F42="","",1/F42)</x:f>
        <x:v>0.5</x:v>
      </x:c>
      <x:c r="E44" s="63" t="n">
        <x:f>IF(F43="","",1/F43)</x:f>
        <x:v>0.3333333333333333</x:v>
      </x:c>
      <x:c r="F44" s="61" t="n">
        <x:v>1</x:v>
      </x:c>
      <x:c r="G44" s="62" t="n">
        <x:v>3</x:v>
      </x:c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</x:row>
    <x:row r="45" ht="22" customHeight="1">
      <x:c r="A45" s="57" t="str">
        <x:v>5–6</x:v>
      </x:c>
      <x:c r="B45" s="64" t="n">
        <x:f>IF(G40="","",1/G40)</x:f>
        <x:v>0.5</x:v>
      </x:c>
      <x:c r="C45" s="64" t="n">
        <x:f>IF(G41="","",1/G41)</x:f>
        <x:v>0.5</x:v>
      </x:c>
      <x:c r="D45" s="64" t="n">
        <x:f>IF(G42="","",1/G42)</x:f>
        <x:v>0.25</x:v>
      </x:c>
      <x:c r="E45" s="64" t="n">
        <x:f>IF(G43="","",1/G43)</x:f>
        <x:v>0.16666666666666666</x:v>
      </x:c>
      <x:c r="F45" s="64" t="n">
        <x:f>IF(G44="","",1/G44)</x:f>
        <x:v>0.3333333333333333</x:v>
      </x:c>
      <x:c r="G45" s="65" t="n">
        <x:v>1</x:v>
      </x:c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</x:row>
    <x:row r="49" ht="25" customHeight="1">
      <x:c r="A49" s="55" t="str">
        <x:v>Матрица: далеко</x:v>
      </x:c>
      <x:c r="B49" s="55"/>
      <x:c r="C49" s="55"/>
      <x:c r="D49" s="55"/>
      <x:c r="E49" s="55"/>
      <x:c r="F49" s="55"/>
      <x:c r="G49" s="55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</x:row>
    <x:row r="51" ht="27" customHeight="1">
      <x:c r="A51" s="4" t="str">
        <x:v>Строка / столбец</x:v>
      </x:c>
      <x:c r="B51" s="4" t="str">
        <x:v>0–1</x:v>
      </x:c>
      <x:c r="C51" s="4" t="str">
        <x:v>1–2</x:v>
      </x:c>
      <x:c r="D51" s="4" t="str">
        <x:v>2–3</x:v>
      </x:c>
      <x:c r="E51" s="4" t="str">
        <x:v>3–4</x:v>
      </x:c>
      <x:c r="F51" s="4" t="str">
        <x:v>4–5</x:v>
      </x:c>
      <x:c r="G51" s="4" t="str">
        <x:v>5–6</x:v>
      </x:c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</x:row>
    <x:row r="52" ht="22" customHeight="1">
      <x:c r="A52" s="1" t="str">
        <x:v>0–1</x:v>
      </x:c>
      <x:c r="B52" s="61" t="n">
        <x:v>1</x:v>
      </x:c>
      <x:c r="C52" s="62" t="n">
        <x:v>0.5</x:v>
      </x:c>
      <x:c r="D52" s="62" t="n">
        <x:v>0.3333333333333333</x:v>
      </x:c>
      <x:c r="E52" s="62" t="n">
        <x:v>0.2</x:v>
      </x:c>
      <x:c r="F52" s="62" t="n">
        <x:v>0.14285714285714285</x:v>
      </x:c>
      <x:c r="G52" s="62" t="n">
        <x:v>0.1111111111111111</x:v>
      </x:c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</x:row>
    <x:row r="53" ht="22" customHeight="1">
      <x:c r="A53" s="1" t="str">
        <x:v>1–2</x:v>
      </x:c>
      <x:c r="B53" s="63" t="n">
        <x:f>IF(C52="","",1/C52)</x:f>
        <x:v>2</x:v>
      </x:c>
      <x:c r="C53" s="61" t="n">
        <x:v>1</x:v>
      </x:c>
      <x:c r="D53" s="62" t="n">
        <x:v>0.5</x:v>
      </x:c>
      <x:c r="E53" s="62" t="n">
        <x:v>0.25</x:v>
      </x:c>
      <x:c r="F53" s="62" t="n">
        <x:v>0.16666666666666666</x:v>
      </x:c>
      <x:c r="G53" s="62" t="n">
        <x:v>0.125</x:v>
      </x:c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</x:row>
    <x:row r="54" ht="22" customHeight="1">
      <x:c r="A54" s="1" t="str">
        <x:v>2–3</x:v>
      </x:c>
      <x:c r="B54" s="63" t="n">
        <x:f>IF(D52="","",1/D52)</x:f>
        <x:v>3</x:v>
      </x:c>
      <x:c r="C54" s="63" t="n">
        <x:f>IF(D53="","",1/D53)</x:f>
        <x:v>2</x:v>
      </x:c>
      <x:c r="D54" s="61" t="n">
        <x:v>1</x:v>
      </x:c>
      <x:c r="E54" s="62" t="n">
        <x:v>0.5</x:v>
      </x:c>
      <x:c r="F54" s="62" t="n">
        <x:v>0.3333333333333333</x:v>
      </x:c>
      <x:c r="G54" s="62" t="n">
        <x:v>0.16666666666666666</x:v>
      </x:c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</x:row>
    <x:row r="55" ht="22" customHeight="1">
      <x:c r="A55" s="1" t="str">
        <x:v>3–4</x:v>
      </x:c>
      <x:c r="B55" s="63" t="n">
        <x:f>IF(E52="","",1/E52)</x:f>
        <x:v>5</x:v>
      </x:c>
      <x:c r="C55" s="63" t="n">
        <x:f>IF(E53="","",1/E53)</x:f>
        <x:v>4</x:v>
      </x:c>
      <x:c r="D55" s="63" t="n">
        <x:f>IF(E54="","",1/E54)</x:f>
        <x:v>2</x:v>
      </x:c>
      <x:c r="E55" s="61" t="n">
        <x:v>1</x:v>
      </x:c>
      <x:c r="F55" s="62" t="n">
        <x:v>0.5</x:v>
      </x:c>
      <x:c r="G55" s="62" t="n">
        <x:v>0.25</x:v>
      </x:c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</x:row>
    <x:row r="56" ht="22" customHeight="1">
      <x:c r="A56" s="1" t="str">
        <x:v>4–5</x:v>
      </x:c>
      <x:c r="B56" s="63" t="n">
        <x:f>IF(F52="","",1/F52)</x:f>
        <x:v>7</x:v>
      </x:c>
      <x:c r="C56" s="63" t="n">
        <x:f>IF(F53="","",1/F53)</x:f>
        <x:v>6</x:v>
      </x:c>
      <x:c r="D56" s="63" t="n">
        <x:f>IF(F54="","",1/F54)</x:f>
        <x:v>3</x:v>
      </x:c>
      <x:c r="E56" s="63" t="n">
        <x:f>IF(F55="","",1/F55)</x:f>
        <x:v>2</x:v>
      </x:c>
      <x:c r="F56" s="61" t="n">
        <x:v>1</x:v>
      </x:c>
      <x:c r="G56" s="62" t="n">
        <x:v>0.5</x:v>
      </x:c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</x:row>
    <x:row r="57" ht="22" customHeight="1">
      <x:c r="A57" s="57" t="str">
        <x:v>5–6</x:v>
      </x:c>
      <x:c r="B57" s="64" t="n">
        <x:f>IF(G52="","",1/G52)</x:f>
        <x:v>9</x:v>
      </x:c>
      <x:c r="C57" s="64" t="n">
        <x:f>IF(G53="","",1/G53)</x:f>
        <x:v>8</x:v>
      </x:c>
      <x:c r="D57" s="64" t="n">
        <x:f>IF(G54="","",1/G54)</x:f>
        <x:v>6</x:v>
      </x:c>
      <x:c r="E57" s="64" t="n">
        <x:f>IF(G55="","",1/G55)</x:f>
        <x:v>4</x:v>
      </x:c>
      <x:c r="F57" s="64" t="n">
        <x:f>IF(G56="","",1/G56)</x:f>
        <x:v>2</x:v>
      </x:c>
      <x:c r="G57" s="65" t="n">
        <x:v>1</x:v>
      </x:c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</x:row>
    <x:row r="60" ht="22" customHeight="1">
      <x:c r="A60" s="47" t="str">
        <x:v>Метод: «Лабораторная 1.pptx». Парные оценки для расстояния пешком — учебный пример.</x:v>
      </x:c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</x:row>
  </x:sheetData>
  <x:pageMargins left="0.7" right="0.7" top="0.75" bottom="0.75" header="0.3" footer="0.3"/>
  <x:drawing xmlns:r="http://schemas.openxmlformats.org/officeDocument/2006/relationships" r:id="R1e29eb7b8c764b7b"/>
</x:worksheet>
</file>